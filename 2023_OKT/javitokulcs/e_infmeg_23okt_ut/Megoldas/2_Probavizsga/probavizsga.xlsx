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filterPrivacy="1"/>
  <xr:revisionPtr revIDLastSave="0" documentId="13_ncr:1_{8C4CC309-7AFA-41C8-B79F-F956D09BEBD5}" xr6:coauthVersionLast="47" xr6:coauthVersionMax="47" xr10:uidLastSave="{00000000-0000-0000-0000-000000000000}"/>
  <bookViews>
    <workbookView xWindow="9708" yWindow="2772" windowWidth="23040" windowHeight="12372" xr2:uid="{00000000-000D-0000-FFFF-FFFF00000000}"/>
  </bookViews>
  <sheets>
    <sheet name="Munka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" i="4"/>
  <c r="C4" i="4"/>
  <c r="C5" i="4"/>
  <c r="C6" i="4"/>
  <c r="C2" i="4"/>
  <c r="F3" i="4"/>
  <c r="F4" i="4"/>
  <c r="F5" i="4"/>
  <c r="F6" i="4"/>
  <c r="F2" i="4"/>
  <c r="I5" i="4" l="1"/>
  <c r="J5" i="4" s="1"/>
  <c r="I3" i="4"/>
  <c r="J3" i="4" s="1"/>
  <c r="I4" i="4"/>
  <c r="J4" i="4" s="1"/>
</calcChain>
</file>

<file path=xl/sharedStrings.xml><?xml version="1.0" encoding="utf-8"?>
<sst xmlns="http://schemas.openxmlformats.org/spreadsheetml/2006/main" count="85" uniqueCount="45">
  <si>
    <t>Biológus Boglárka</t>
  </si>
  <si>
    <t>Denes András</t>
  </si>
  <si>
    <t>Mester Márton</t>
  </si>
  <si>
    <t>Kakas Kázmér</t>
  </si>
  <si>
    <t>Hajdú Imre</t>
  </si>
  <si>
    <t>Acsai János</t>
  </si>
  <si>
    <t>Mátraházi Miklós</t>
  </si>
  <si>
    <t>Fischer Ildikó</t>
  </si>
  <si>
    <t>Kenderesi Kázmér</t>
  </si>
  <si>
    <t>Zöld Piroska</t>
  </si>
  <si>
    <t>Dózsa György</t>
  </si>
  <si>
    <t>Szaller Tibor</t>
  </si>
  <si>
    <t>Zápor József</t>
  </si>
  <si>
    <t>Elekes Elek</t>
  </si>
  <si>
    <t>Monty Péter</t>
  </si>
  <si>
    <t>Ladányi Hedvig</t>
  </si>
  <si>
    <t>Balázsi Gábor</t>
  </si>
  <si>
    <t>Szarka Imre</t>
  </si>
  <si>
    <t>Gerleházi Levente</t>
  </si>
  <si>
    <t>Cseh Miklós</t>
  </si>
  <si>
    <t>Letkési Lajos</t>
  </si>
  <si>
    <t>Kiss Zoltán</t>
  </si>
  <si>
    <t>Bombás Ede</t>
  </si>
  <si>
    <t>Csuka Sándor</t>
  </si>
  <si>
    <t>Esztergom Eszter</t>
  </si>
  <si>
    <t>Didergő Dorka</t>
  </si>
  <si>
    <t>Mókus Marci</t>
  </si>
  <si>
    <t>Csoda Csillag</t>
  </si>
  <si>
    <t>Rókica Rea</t>
  </si>
  <si>
    <t>Fagymanó Flóra</t>
  </si>
  <si>
    <t>Macskássy Timót</t>
  </si>
  <si>
    <t>Kandúr József</t>
  </si>
  <si>
    <t>Tiszai Mica</t>
  </si>
  <si>
    <t>Balatoni Tündér</t>
  </si>
  <si>
    <t>Piros Borostyán</t>
  </si>
  <si>
    <t>Morgó Olívia</t>
  </si>
  <si>
    <t>Név</t>
  </si>
  <si>
    <t>Osztály</t>
  </si>
  <si>
    <t>Jelentkező</t>
  </si>
  <si>
    <t>Bábel Lajos</t>
  </si>
  <si>
    <t>11. C</t>
  </si>
  <si>
    <t>11. A</t>
  </si>
  <si>
    <t>11. B</t>
  </si>
  <si>
    <t>11. D</t>
  </si>
  <si>
    <t>11.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</si>
</sst>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&quot; fő&quot;"/>
  </numFmts>
  <fonts count="4">
    <font>
      <sz val="11"/>
      <color theme="1"/>
      <name val="Calibri"/>
      <family val="2"/>
      <scheme val="minor"/>
    </font>
    <font>
      <sz val="11"/>
      <color rgb="FF1C1E21"/>
      <name val="Inherit"/>
    </font>
    <font>
      <sz val="11"/>
      <color rgb="FF050505"/>
      <name val="Segoe UI Historic"/>
      <family val="2"/>
    </font>
    <font>
      <sz val="11"/>
      <color theme="1"/>
      <name val="Inherit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0" fillId="2" borderId="0" xfId="0" applyFill="1"/>
    <xf numFmtId="164" fontId="0" fillId="2" borderId="0" xfId="0" applyNumberFormat="1" applyFill="1"/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ál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zoomScale="170" zoomScaleNormal="170" workbookViewId="0"/>
  </sheetViews>
  <sheetFormatPr defaultColWidth="9.109375" defaultRowHeight="14.4"/>
  <cols>
    <col min="1" max="1" width="19" customWidth="1"/>
    <col min="2" max="2" width="7.33203125" customWidth="1"/>
    <col min="3" max="3" width="6" customWidth="1"/>
    <col min="4" max="4" width="7.109375" bestFit="1" customWidth="1"/>
    <col min="5" max="5" width="7.88671875" customWidth="1"/>
    <col min="6" max="6" width="10.5546875" bestFit="1" customWidth="1"/>
    <col min="7" max="7" width="5.88671875" customWidth="1"/>
    <col min="8" max="8" width="6.44140625" customWidth="1"/>
    <col min="9" max="9" width="19" customWidth="1"/>
    <col min="10" max="10" width="7.109375" customWidth="1"/>
  </cols>
  <sheetData>
    <row r="1" spans="1:10">
      <c r="A1" t="s">
        <v>36</v>
      </c>
      <c r="B1" t="s">
        <v>37</v>
      </c>
      <c r="E1" t="s">
        <v>37</v>
      </c>
      <c r="F1" t="s">
        <v>38</v>
      </c>
      <c r="I1" s="7" t="s">
        <v>37</v>
      </c>
    </row>
    <row r="2" spans="1:10">
      <c r="A2" t="s">
        <v>35</v>
      </c>
      <c r="B2" t="s">
        <v>40</v>
      </c>
      <c r="C2" t="str">
        <f>IF(B2&lt;&gt;$I$2,"",COUNTIF($B$2:B2,$I$2))</f>
        <v/>
      </c>
      <c r="E2" s="4" t="s">
        <v>41</v>
      </c>
      <c r="F2" s="5">
        <f>COUNTIF(B$2:B$38,E2)</f>
        <v>9</v>
      </c>
      <c r="I2" s="7" t="s">
        <v>42</v>
      </c>
    </row>
    <row r="3" spans="1:10">
      <c r="A3" t="s">
        <v>25</v>
      </c>
      <c r="B3" t="s">
        <v>40</v>
      </c>
      <c r="C3" t="str">
        <f>IF(B3&lt;&gt;$I$2,"",COUNTIF($B$2:B3,$I$2))</f>
        <v/>
      </c>
      <c r="E3" s="4" t="s">
        <v>42</v>
      </c>
      <c r="F3" s="5">
        <f t="shared" ref="F3:F6" si="0">COUNTIF(B$2:B$38,E3)</f>
        <v>6</v>
      </c>
      <c r="H3" s="4">
        <v>1</v>
      </c>
      <c r="I3" s="4" t="str">
        <f>INDEX($A$2:$A$38,MATCH(H3,$C$2:$C$38,0))</f>
        <v>Esztergom Eszter</v>
      </c>
      <c r="J3" s="4" t="str">
        <f>LEFT(I3,1) &amp;MID(I3,SEARCH(" ",I3)+1,1)</f>
        <v>EE</v>
      </c>
    </row>
    <row r="4" spans="1:10">
      <c r="A4" t="s">
        <v>26</v>
      </c>
      <c r="B4" t="s">
        <v>44</v>
      </c>
      <c r="C4" t="str">
        <f>IF(B4&lt;&gt;$I$2,"",COUNTIF($B$2:B4,$I$2))</f>
        <v/>
      </c>
      <c r="E4" s="4" t="s">
        <v>40</v>
      </c>
      <c r="F4" s="5">
        <f t="shared" si="0"/>
        <v>9</v>
      </c>
      <c r="H4" s="4">
        <v>2</v>
      </c>
      <c r="I4" s="4" t="str">
        <f>INDEX($A$2:$A$38,MATCH(H4,$C$2:$C$38,0))</f>
        <v>Balatoni Tündér</v>
      </c>
      <c r="J4" s="4" t="str">
        <f t="shared" ref="J4:J5" si="1">LEFT(I4,1) &amp;MID(I4,SEARCH(" ",I4)+1,1)</f>
        <v>BT</v>
      </c>
    </row>
    <row r="5" spans="1:10">
      <c r="A5" t="s">
        <v>24</v>
      </c>
      <c r="B5" t="s">
        <v>42</v>
      </c>
      <c r="C5">
        <f>IF(B5&lt;&gt;$I$2,"",COUNTIF($B$2:B5,$I$2))</f>
        <v>1</v>
      </c>
      <c r="E5" s="4" t="s">
        <v>43</v>
      </c>
      <c r="F5" s="5">
        <f t="shared" si="0"/>
        <v>6</v>
      </c>
      <c r="H5" s="4">
        <v>3</v>
      </c>
      <c r="I5" s="4" t="str">
        <f>INDEX($A$2:$A$38,MATCH(H5,$C$2:$C$38,0))</f>
        <v>Tiszai Mica</v>
      </c>
      <c r="J5" s="4" t="str">
        <f t="shared" si="1"/>
        <v>TM</v>
      </c>
    </row>
    <row r="6" spans="1:10">
      <c r="A6" t="s">
        <v>27</v>
      </c>
      <c r="B6" t="s">
        <v>43</v>
      </c>
      <c r="C6" t="str">
        <f>IF(B6&lt;&gt;$I$2,"",COUNTIF($B$2:B6,$I$2))</f>
        <v/>
      </c>
      <c r="E6" s="4" t="s">
        <v>44</v>
      </c>
      <c r="F6" s="5">
        <f t="shared" si="0"/>
        <v>7</v>
      </c>
    </row>
    <row r="7" spans="1:10">
      <c r="A7" t="s">
        <v>34</v>
      </c>
      <c r="B7" t="s">
        <v>41</v>
      </c>
      <c r="C7" t="str">
        <f>IF(B7&lt;&gt;$I$2,"",COUNTIF($B$2:B7,$I$2))</f>
        <v/>
      </c>
    </row>
    <row r="8" spans="1:10">
      <c r="A8" t="s">
        <v>33</v>
      </c>
      <c r="B8" t="s">
        <v>42</v>
      </c>
      <c r="C8">
        <f>IF(B8&lt;&gt;$I$2,"",COUNTIF($B$2:B8,$I$2))</f>
        <v>2</v>
      </c>
    </row>
    <row r="9" spans="1:10">
      <c r="A9" t="s">
        <v>29</v>
      </c>
      <c r="B9" t="s">
        <v>44</v>
      </c>
      <c r="C9" t="str">
        <f>IF(B9&lt;&gt;$I$2,"",COUNTIF($B$2:B9,$I$2))</f>
        <v/>
      </c>
    </row>
    <row r="10" spans="1:10">
      <c r="A10" t="s">
        <v>28</v>
      </c>
      <c r="B10" t="s">
        <v>41</v>
      </c>
      <c r="C10" t="str">
        <f>IF(B10&lt;&gt;$I$2,"",COUNTIF($B$2:B10,$I$2))</f>
        <v/>
      </c>
    </row>
    <row r="11" spans="1:10">
      <c r="A11" t="s">
        <v>0</v>
      </c>
      <c r="B11" t="s">
        <v>44</v>
      </c>
      <c r="C11" t="str">
        <f>IF(B11&lt;&gt;$I$2,"",COUNTIF($B$2:B11,$I$2))</f>
        <v/>
      </c>
    </row>
    <row r="12" spans="1:10">
      <c r="A12" t="s">
        <v>31</v>
      </c>
      <c r="B12" t="s">
        <v>43</v>
      </c>
      <c r="C12" t="str">
        <f>IF(B12&lt;&gt;$I$2,"",COUNTIF($B$2:B12,$I$2))</f>
        <v/>
      </c>
    </row>
    <row r="13" spans="1:10">
      <c r="A13" t="s">
        <v>1</v>
      </c>
      <c r="B13" t="s">
        <v>40</v>
      </c>
      <c r="C13" t="str">
        <f>IF(B13&lt;&gt;$I$2,"",COUNTIF($B$2:B13,$I$2))</f>
        <v/>
      </c>
    </row>
    <row r="14" spans="1:10" ht="16.8">
      <c r="A14" t="s">
        <v>39</v>
      </c>
      <c r="B14" t="s">
        <v>43</v>
      </c>
      <c r="C14" t="str">
        <f>IF(B14&lt;&gt;$I$2,"",COUNTIF($B$2:B14,$I$2))</f>
        <v/>
      </c>
      <c r="J14" s="2"/>
    </row>
    <row r="15" spans="1:10">
      <c r="A15" t="s">
        <v>2</v>
      </c>
      <c r="B15" t="s">
        <v>43</v>
      </c>
      <c r="C15" t="str">
        <f>IF(B15&lt;&gt;$I$2,"",COUNTIF($B$2:B15,$I$2))</f>
        <v/>
      </c>
      <c r="J15" s="3"/>
    </row>
    <row r="16" spans="1:10">
      <c r="A16" t="s">
        <v>3</v>
      </c>
      <c r="B16" t="s">
        <v>41</v>
      </c>
      <c r="C16" t="str">
        <f>IF(B16&lt;&gt;$I$2,"",COUNTIF($B$2:B16,$I$2))</f>
        <v/>
      </c>
      <c r="J16" s="3"/>
    </row>
    <row r="17" spans="1:10">
      <c r="A17" t="s">
        <v>4</v>
      </c>
      <c r="B17" t="s">
        <v>44</v>
      </c>
      <c r="C17" t="str">
        <f>IF(B17&lt;&gt;$I$2,"",COUNTIF($B$2:B17,$I$2))</f>
        <v/>
      </c>
      <c r="J17" s="3"/>
    </row>
    <row r="18" spans="1:10">
      <c r="A18" t="s">
        <v>32</v>
      </c>
      <c r="B18" t="s">
        <v>42</v>
      </c>
      <c r="C18">
        <f>IF(B18&lt;&gt;$I$2,"",COUNTIF($B$2:B18,$I$2))</f>
        <v>3</v>
      </c>
      <c r="J18" s="3"/>
    </row>
    <row r="19" spans="1:10">
      <c r="A19" t="s">
        <v>5</v>
      </c>
      <c r="B19" t="s">
        <v>41</v>
      </c>
      <c r="C19" t="str">
        <f>IF(B19&lt;&gt;$I$2,"",COUNTIF($B$2:B19,$I$2))</f>
        <v/>
      </c>
      <c r="J19" s="1"/>
    </row>
    <row r="20" spans="1:10">
      <c r="A20" t="s">
        <v>6</v>
      </c>
      <c r="B20" t="s">
        <v>40</v>
      </c>
      <c r="C20" t="str">
        <f>IF(B20&lt;&gt;$I$2,"",COUNTIF($B$2:B20,$I$2))</f>
        <v/>
      </c>
    </row>
    <row r="21" spans="1:10">
      <c r="A21" t="s">
        <v>7</v>
      </c>
      <c r="B21" t="s">
        <v>40</v>
      </c>
      <c r="C21" t="str">
        <f>IF(B21&lt;&gt;$I$2,"",COUNTIF($B$2:B21,$I$2))</f>
        <v/>
      </c>
    </row>
    <row r="22" spans="1:10">
      <c r="A22" t="s">
        <v>8</v>
      </c>
      <c r="B22" t="s">
        <v>43</v>
      </c>
      <c r="C22" t="str">
        <f>IF(B22&lt;&gt;$I$2,"",COUNTIF($B$2:B22,$I$2))</f>
        <v/>
      </c>
    </row>
    <row r="23" spans="1:10">
      <c r="A23" t="s">
        <v>9</v>
      </c>
      <c r="B23" t="s">
        <v>41</v>
      </c>
      <c r="C23" t="str">
        <f>IF(B23&lt;&gt;$I$2,"",COUNTIF($B$2:B23,$I$2))</f>
        <v/>
      </c>
    </row>
    <row r="24" spans="1:10">
      <c r="A24" t="s">
        <v>10</v>
      </c>
      <c r="B24" t="s">
        <v>41</v>
      </c>
      <c r="C24" t="str">
        <f>IF(B24&lt;&gt;$I$2,"",COUNTIF($B$2:B24,$I$2))</f>
        <v/>
      </c>
    </row>
    <row r="25" spans="1:10">
      <c r="A25" t="s">
        <v>11</v>
      </c>
      <c r="B25" t="s">
        <v>41</v>
      </c>
      <c r="C25" t="str">
        <f>IF(B25&lt;&gt;$I$2,"",COUNTIF($B$2:B25,$I$2))</f>
        <v/>
      </c>
    </row>
    <row r="26" spans="1:10">
      <c r="A26" t="s">
        <v>12</v>
      </c>
      <c r="B26" t="s">
        <v>44</v>
      </c>
      <c r="C26" t="str">
        <f>IF(B26&lt;&gt;$I$2,"",COUNTIF($B$2:B26,$I$2))</f>
        <v/>
      </c>
    </row>
    <row r="27" spans="1:10">
      <c r="A27" t="s">
        <v>13</v>
      </c>
      <c r="B27" t="s">
        <v>44</v>
      </c>
      <c r="C27" t="str">
        <f>IF(B27&lt;&gt;$I$2,"",COUNTIF($B$2:B27,$I$2))</f>
        <v/>
      </c>
    </row>
    <row r="28" spans="1:10">
      <c r="A28" t="s">
        <v>30</v>
      </c>
      <c r="B28" t="s">
        <v>42</v>
      </c>
      <c r="C28">
        <f>IF(B28&lt;&gt;$I$2,"",COUNTIF($B$2:B28,$I$2))</f>
        <v>4</v>
      </c>
    </row>
    <row r="29" spans="1:10">
      <c r="A29" t="s">
        <v>14</v>
      </c>
      <c r="B29" t="s">
        <v>42</v>
      </c>
      <c r="C29">
        <f>IF(B29&lt;&gt;$I$2,"",COUNTIF($B$2:B29,$I$2))</f>
        <v>5</v>
      </c>
    </row>
    <row r="30" spans="1:10">
      <c r="A30" t="s">
        <v>15</v>
      </c>
      <c r="B30" t="s">
        <v>40</v>
      </c>
      <c r="C30" t="str">
        <f>IF(B30&lt;&gt;$I$2,"",COUNTIF($B$2:B30,$I$2))</f>
        <v/>
      </c>
    </row>
    <row r="31" spans="1:10">
      <c r="A31" t="s">
        <v>16</v>
      </c>
      <c r="B31" t="s">
        <v>40</v>
      </c>
      <c r="C31" t="str">
        <f>IF(B31&lt;&gt;$I$2,"",COUNTIF($B$2:B31,$I$2))</f>
        <v/>
      </c>
    </row>
    <row r="32" spans="1:10">
      <c r="A32" t="s">
        <v>17</v>
      </c>
      <c r="B32" t="s">
        <v>44</v>
      </c>
      <c r="C32" t="str">
        <f>IF(B32&lt;&gt;$I$2,"",COUNTIF($B$2:B32,$I$2))</f>
        <v/>
      </c>
      <c r="I32" s="6"/>
    </row>
    <row r="33" spans="1:3">
      <c r="A33" t="s">
        <v>18</v>
      </c>
      <c r="B33" t="s">
        <v>43</v>
      </c>
      <c r="C33" t="str">
        <f>IF(B33&lt;&gt;$I$2,"",COUNTIF($B$2:B33,$I$2))</f>
        <v/>
      </c>
    </row>
    <row r="34" spans="1:3">
      <c r="A34" t="s">
        <v>19</v>
      </c>
      <c r="B34" t="s">
        <v>41</v>
      </c>
      <c r="C34" t="str">
        <f>IF(B34&lt;&gt;$I$2,"",COUNTIF($B$2:B34,$I$2))</f>
        <v/>
      </c>
    </row>
    <row r="35" spans="1:3">
      <c r="A35" t="s">
        <v>20</v>
      </c>
      <c r="B35" t="s">
        <v>41</v>
      </c>
      <c r="C35" t="str">
        <f>IF(B35&lt;&gt;$I$2,"",COUNTIF($B$2:B35,$I$2))</f>
        <v/>
      </c>
    </row>
    <row r="36" spans="1:3">
      <c r="A36" t="s">
        <v>21</v>
      </c>
      <c r="B36" t="s">
        <v>40</v>
      </c>
      <c r="C36" t="str">
        <f>IF(B36&lt;&gt;$I$2,"",COUNTIF($B$2:B36,$I$2))</f>
        <v/>
      </c>
    </row>
    <row r="37" spans="1:3">
      <c r="A37" t="s">
        <v>22</v>
      </c>
      <c r="B37" t="s">
        <v>42</v>
      </c>
      <c r="C37">
        <f>IF(B37&lt;&gt;$I$2,"",COUNTIF($B$2:B37,$I$2))</f>
        <v>6</v>
      </c>
    </row>
    <row r="38" spans="1:3">
      <c r="A38" t="s">
        <v>23</v>
      </c>
      <c r="B38" t="s">
        <v>40</v>
      </c>
      <c r="C38" t="str">
        <f>IF(B38&lt;&gt;$I$2,"",COUNTIF($B$2:B38,$I$2))</f>
        <v/>
      </c>
    </row>
  </sheetData>
  <conditionalFormatting sqref="A2:B38">
    <cfRule type="expression" dxfId="0" priority="5">
      <formula>$B2=$I$2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2023-01-15T13:57:27Z</dcterms:modified>
</cp:coreProperties>
</file>