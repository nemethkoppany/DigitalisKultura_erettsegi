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/>
  <xr:revisionPtr revIDLastSave="0" documentId="13_ncr:1_{75578502-1008-4E16-B8F0-EE4182A1D18D}" xr6:coauthVersionLast="47" xr6:coauthVersionMax="47" xr10:uidLastSave="{00000000-0000-0000-0000-000000000000}"/>
  <bookViews>
    <workbookView xWindow="28680" yWindow="6090" windowWidth="29040" windowHeight="15720" xr2:uid="{00000000-000D-0000-FFFF-FFFF00000000}"/>
  </bookViews>
  <sheets>
    <sheet name="Használati útmutató" sheetId="75" r:id="rId1"/>
    <sheet name="Vizsgazo1" sheetId="74" r:id="rId2"/>
  </sheets>
  <definedNames>
    <definedName name="_Hlk532937398" localSheetId="1">Vizsgazo1!#REF!</definedName>
    <definedName name="_xlnm.Print_Titles" localSheetId="1">Vizsgazo1!$1:$2</definedName>
    <definedName name="_xlnm.Print_Area" localSheetId="0">'Használati útmutató'!$A$1:$A$7</definedName>
    <definedName name="_xlnm.Print_Area" localSheetId="1">Vizsgazo1!$B$1:$D$171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0" i="74" l="1"/>
  <c r="B170" i="74"/>
  <c r="B169" i="74"/>
  <c r="C168" i="74"/>
  <c r="B168" i="74"/>
  <c r="C167" i="74"/>
  <c r="B167" i="74"/>
  <c r="C165" i="74"/>
  <c r="D164" i="74"/>
  <c r="D163" i="74"/>
  <c r="D162" i="74"/>
  <c r="D161" i="74"/>
  <c r="D160" i="74"/>
  <c r="D159" i="74"/>
  <c r="D158" i="74"/>
  <c r="D156" i="74"/>
  <c r="D155" i="74"/>
  <c r="D154" i="74"/>
  <c r="D153" i="74"/>
  <c r="D152" i="74"/>
  <c r="D151" i="74"/>
  <c r="D150" i="74"/>
  <c r="D148" i="74"/>
  <c r="D147" i="74"/>
  <c r="D146" i="74"/>
  <c r="D144" i="74"/>
  <c r="D143" i="74"/>
  <c r="D142" i="74"/>
  <c r="D141" i="74"/>
  <c r="D140" i="74"/>
  <c r="D139" i="74"/>
  <c r="D137" i="74"/>
  <c r="D136" i="74"/>
  <c r="D135" i="74"/>
  <c r="D134" i="74"/>
  <c r="D132" i="74"/>
  <c r="D131" i="74"/>
  <c r="D130" i="74"/>
  <c r="D128" i="74"/>
  <c r="D127" i="74"/>
  <c r="D126" i="74"/>
  <c r="D124" i="74"/>
  <c r="D123" i="74"/>
  <c r="D122" i="74"/>
  <c r="D120" i="74"/>
  <c r="D165" i="74" s="1"/>
  <c r="D170" i="74" s="1"/>
  <c r="D119" i="74"/>
  <c r="D118" i="74"/>
  <c r="D116" i="74"/>
  <c r="D115" i="74"/>
  <c r="D113" i="74"/>
  <c r="C109" i="74"/>
  <c r="C169" i="74" s="1"/>
  <c r="D108" i="74"/>
  <c r="D107" i="74"/>
  <c r="D106" i="74"/>
  <c r="D105" i="74"/>
  <c r="D103" i="74"/>
  <c r="D102" i="74"/>
  <c r="D101" i="74"/>
  <c r="D100" i="74"/>
  <c r="D99" i="74"/>
  <c r="D97" i="74"/>
  <c r="D96" i="74"/>
  <c r="D95" i="74"/>
  <c r="D94" i="74"/>
  <c r="D92" i="74"/>
  <c r="D91" i="74"/>
  <c r="D90" i="74"/>
  <c r="D89" i="74"/>
  <c r="D87" i="74"/>
  <c r="D86" i="74"/>
  <c r="D85" i="74"/>
  <c r="D83" i="74"/>
  <c r="D82" i="74"/>
  <c r="D81" i="74"/>
  <c r="D79" i="74"/>
  <c r="D78" i="74"/>
  <c r="D77" i="74"/>
  <c r="D75" i="74"/>
  <c r="D74" i="74"/>
  <c r="D72" i="74"/>
  <c r="D70" i="74"/>
  <c r="C66" i="74"/>
  <c r="D65" i="74"/>
  <c r="D64" i="74"/>
  <c r="D63" i="74"/>
  <c r="D61" i="74"/>
  <c r="D60" i="74"/>
  <c r="D58" i="74"/>
  <c r="D57" i="74"/>
  <c r="D55" i="74"/>
  <c r="D54" i="74"/>
  <c r="D52" i="74"/>
  <c r="D51" i="74"/>
  <c r="D50" i="74"/>
  <c r="D48" i="74"/>
  <c r="D46" i="74"/>
  <c r="C42" i="74"/>
  <c r="D41" i="74"/>
  <c r="D40" i="74"/>
  <c r="D39" i="74"/>
  <c r="D37" i="74"/>
  <c r="D36" i="74"/>
  <c r="D35" i="74"/>
  <c r="D34" i="74"/>
  <c r="D33" i="74"/>
  <c r="D32" i="74"/>
  <c r="D31" i="74"/>
  <c r="D30" i="74"/>
  <c r="D29" i="74"/>
  <c r="D28" i="74"/>
  <c r="D26" i="74"/>
  <c r="D25" i="74"/>
  <c r="D24" i="74"/>
  <c r="D23" i="74"/>
  <c r="D22" i="74"/>
  <c r="D21" i="74"/>
  <c r="D19" i="74"/>
  <c r="D18" i="74"/>
  <c r="D17" i="74"/>
  <c r="D15" i="74"/>
  <c r="D14" i="74"/>
  <c r="D12" i="74"/>
  <c r="D11" i="74"/>
  <c r="D10" i="74"/>
  <c r="D8" i="74"/>
  <c r="D7" i="74"/>
  <c r="D5" i="74"/>
  <c r="C171" i="74" l="1"/>
  <c r="D109" i="74"/>
  <c r="D169" i="74" s="1"/>
  <c r="D66" i="74"/>
  <c r="D168" i="74" s="1"/>
  <c r="D42" i="74"/>
  <c r="D167" i="74" s="1"/>
  <c r="D171" i="7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B5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A pont nem adható meg, ha 3-nál kevesebb dia van, vagy ha a bemutatót nem a megfelelő néven mentette.</t>
        </r>
      </text>
    </comment>
    <comment ref="B7" authorId="0" shapeId="0" xr:uid="{00000000-0006-0000-0100-000002000000}">
      <text>
        <r>
          <rPr>
            <sz val="9"/>
            <color indexed="81"/>
            <rFont val="Tahoma"/>
            <family val="2"/>
            <charset val="238"/>
          </rPr>
          <t>A pont jár akkor is, ha az alakzatokban lévő szövegek betűtípusa eltérő.</t>
        </r>
      </text>
    </comment>
    <comment ref="B8" authorId="0" shapeId="0" xr:uid="{00000000-0006-0000-0100-000003000000}">
      <text>
        <r>
          <rPr>
            <sz val="9"/>
            <color indexed="81"/>
            <rFont val="Tahoma"/>
            <family val="2"/>
            <charset val="238"/>
          </rPr>
          <t>A formázás a diákon vagy a mintadián egyenértékű.
Az előző két pont jár akkor is, ha a beállítások legfeljebb 1 dián tévesek.</t>
        </r>
      </text>
    </comment>
    <comment ref="B19" authorId="0" shapeId="0" xr:uid="{00000000-0006-0000-0100-000004000000}">
      <text>
        <r>
          <rPr>
            <sz val="9"/>
            <color indexed="81"/>
            <rFont val="Tahoma"/>
            <family val="2"/>
            <charset val="238"/>
          </rPr>
          <t>A pont nem adható meg, ha a téglalap a betűk magasságának felénél többet vagy semmit nem takar.</t>
        </r>
      </text>
    </comment>
    <comment ref="B24" authorId="0" shapeId="0" xr:uid="{00000000-0006-0000-0100-000005000000}">
      <text>
        <r>
          <rPr>
            <sz val="9"/>
            <color indexed="81"/>
            <rFont val="Tahoma"/>
            <family val="2"/>
            <charset val="238"/>
          </rPr>
          <t>A pont jár akkor is, ha egy matricánál a fekete szegély téves.</t>
        </r>
      </text>
    </comment>
    <comment ref="B28" authorId="0" shapeId="0" xr:uid="{00000000-0006-0000-0100-000006000000}">
      <text>
        <r>
          <rPr>
            <sz val="9"/>
            <color indexed="81"/>
            <rFont val="Tahoma"/>
            <family val="2"/>
            <charset val="238"/>
          </rPr>
          <t>A pont nem adható meg kettőnél kevesebb matrica esetén.
A matricák hiányosak is lehetnek.</t>
        </r>
      </text>
    </comment>
    <comment ref="B31" authorId="0" shapeId="0" xr:uid="{00000000-0006-0000-0100-000007000000}">
      <text>
        <r>
          <rPr>
            <sz val="9"/>
            <color indexed="81"/>
            <rFont val="Tahoma"/>
            <family val="2"/>
            <charset val="238"/>
          </rPr>
          <t>A pont nem adható meg, ha a téglalap a betűk magasságának felénél többet vagy semmit nem takar.</t>
        </r>
      </text>
    </comment>
    <comment ref="B40" authorId="0" shapeId="0" xr:uid="{00000000-0006-0000-0100-000008000000}">
      <text>
        <r>
          <rPr>
            <sz val="9"/>
            <color indexed="81"/>
            <rFont val="Tahoma"/>
            <family val="2"/>
            <charset val="238"/>
          </rPr>
          <t>A pont nem adható meg, ha más bekezdést is így formázott meg.</t>
        </r>
      </text>
    </comment>
    <comment ref="B41" authorId="0" shapeId="0" xr:uid="{00000000-0006-0000-0100-000009000000}">
      <text>
        <r>
          <rPr>
            <sz val="9"/>
            <color indexed="81"/>
            <rFont val="Tahoma"/>
            <family val="2"/>
            <charset val="238"/>
          </rPr>
          <t>A pont nem adható meg, ha a bekezdésben más szöveg is félkövér betűstílusú.</t>
        </r>
      </text>
    </comment>
    <comment ref="B46" authorId="0" shapeId="0" xr:uid="{00000000-0006-0000-0100-00000A000000}">
      <text>
        <r>
          <rPr>
            <sz val="9"/>
            <color indexed="81"/>
            <rFont val="Tahoma"/>
            <family val="2"/>
            <charset val="238"/>
          </rPr>
          <t>A pont csak akkor jár, ha a szöveg ékezethelyesen szerepel.</t>
        </r>
      </text>
    </comment>
    <comment ref="B50" authorId="0" shapeId="0" xr:uid="{00000000-0006-0000-0100-00000B000000}">
      <text>
        <r>
          <rPr>
            <sz val="9"/>
            <color indexed="81"/>
            <rFont val="Tahoma"/>
            <family val="2"/>
            <charset val="238"/>
          </rPr>
          <t>Például:
F2-es cellában: =DARABTELI(B2:B38;”11. A”)</t>
        </r>
      </text>
    </comment>
    <comment ref="B51" authorId="0" shapeId="0" xr:uid="{00000000-0006-0000-0100-00000C000000}">
      <text>
        <r>
          <rPr>
            <sz val="9"/>
            <color indexed="81"/>
            <rFont val="Tahoma"/>
            <family val="2"/>
            <charset val="238"/>
          </rPr>
          <t>Például:
F2-es cellában: =DARABTELI(B$2:B$38;E2)</t>
        </r>
      </text>
    </comment>
    <comment ref="B52" authorId="0" shapeId="0" xr:uid="{00000000-0006-0000-0100-00000D000000}">
      <text>
        <r>
          <rPr>
            <sz val="9"/>
            <color indexed="81"/>
            <rFont val="Tahoma"/>
            <family val="2"/>
            <charset val="238"/>
          </rPr>
          <t>A pont nem adható meg, ha a szám és a mértékegység között nincs szóköz</t>
        </r>
      </text>
    </comment>
    <comment ref="B55" authorId="0" shapeId="0" xr:uid="{00000000-0006-0000-0100-00000E000000}">
      <text>
        <r>
          <rPr>
            <sz val="9"/>
            <color indexed="81"/>
            <rFont val="Tahoma"/>
            <family val="2"/>
            <charset val="238"/>
          </rPr>
          <t>Például:
C2-es cellában: =HA(B2=$I$2;DARABTELI($B$2:B2;$I$2);"")</t>
        </r>
      </text>
    </comment>
    <comment ref="B57" authorId="0" shapeId="0" xr:uid="{00000000-0006-0000-0100-00000F000000}">
      <text>
        <r>
          <rPr>
            <sz val="9"/>
            <color indexed="81"/>
            <rFont val="Tahoma"/>
            <family val="2"/>
            <charset val="238"/>
          </rPr>
          <t>Például:
I3-as cellában: =INDEX(A2:A38;HOL.VAN(1;C2:C38;0))</t>
        </r>
      </text>
    </comment>
    <comment ref="B58" authorId="0" shapeId="0" xr:uid="{00000000-0006-0000-0100-000010000000}">
      <text>
        <r>
          <rPr>
            <sz val="9"/>
            <color indexed="81"/>
            <rFont val="Tahoma"/>
            <family val="2"/>
            <charset val="238"/>
          </rPr>
          <t>Például:
I3-as cellában: =INDEX($A$2:$A$38;HOL.VAN(H3;$C$2:$C$38;0))</t>
        </r>
      </text>
    </comment>
    <comment ref="B60" authorId="0" shapeId="0" xr:uid="{00000000-0006-0000-0100-000011000000}">
      <text>
        <r>
          <rPr>
            <sz val="9"/>
            <color indexed="81"/>
            <rFont val="Tahoma"/>
            <family val="2"/>
            <charset val="238"/>
          </rPr>
          <t>Például:
J3-as cellában: BAL(I3;1)
vagy
J3-as cellában: KÖZÉP(I3;SZÖVEG.KERES(" ";I3)+1;1)</t>
        </r>
      </text>
    </comment>
    <comment ref="B61" authorId="0" shapeId="0" xr:uid="{00000000-0006-0000-0100-000012000000}">
      <text>
        <r>
          <rPr>
            <sz val="9"/>
            <color indexed="81"/>
            <rFont val="Tahoma"/>
            <family val="2"/>
            <charset val="238"/>
          </rPr>
          <t>Például:
J3-as cellában: =BAL(I3;1)&amp;KÖZÉP(I3;SZÖVEG.KERES(" ";I3)+1;1)
A pont nem bontható.</t>
        </r>
      </text>
    </comment>
    <comment ref="B70" authorId="0" shapeId="0" xr:uid="{00000000-0006-0000-0100-000013000000}">
      <text>
        <r>
          <rPr>
            <sz val="9"/>
            <color indexed="81"/>
            <rFont val="Tahoma"/>
            <family val="2"/>
            <charset val="238"/>
          </rPr>
          <t>A pont nem adható meg, ha az adatbázisnév vagy valamely táblanév eltér a megadottól, vagy az adatok típusa vagy a kulcsok megadása hibás.</t>
        </r>
      </text>
    </comment>
    <comment ref="B72" authorId="0" shapeId="0" xr:uid="{00000000-0006-0000-0100-000014000000}">
      <text>
        <r>
          <rPr>
            <sz val="9"/>
            <color indexed="81"/>
            <rFont val="Tahoma"/>
            <family val="2"/>
            <charset val="238"/>
          </rPr>
          <t>A pont nem adható meg, ha négynél kevesebb lekérdezést készített el.</t>
        </r>
      </text>
    </comment>
    <comment ref="B75" authorId="0" shapeId="0" xr:uid="{00000000-0006-0000-0100-000015000000}">
      <text>
        <r>
          <rPr>
            <sz val="9"/>
            <color indexed="81"/>
            <rFont val="Tahoma"/>
            <family val="2"/>
            <charset val="238"/>
          </rPr>
          <t>Például:
SELECT nev
FROM diak
WHERE evfolyam=10 AND betujel="C"
ORDER BY nev;</t>
        </r>
      </text>
    </comment>
    <comment ref="B79" authorId="0" shapeId="0" xr:uid="{00000000-0006-0000-0100-000016000000}">
      <text>
        <r>
          <rPr>
            <sz val="9"/>
            <color indexed="81"/>
            <rFont val="Tahoma"/>
            <family val="2"/>
            <charset val="238"/>
          </rPr>
          <t>Például:
SELECT tanar, nev
FROM szakkor
WHERE nev LIKE "*programoz*" OR nev LIKE "*robotika*";</t>
        </r>
      </text>
    </comment>
    <comment ref="B83" authorId="0" shapeId="0" xr:uid="{00000000-0006-0000-0100-000017000000}">
      <text>
        <r>
          <rPr>
            <sz val="9"/>
            <color indexed="81"/>
            <rFont val="Tahoma"/>
            <family val="2"/>
            <charset val="238"/>
          </rPr>
          <t>Például:
SELECT nev, mk, tanar, COUNT(diakazon)
FROM szakkor, jelentkezes
WHERE szakkor.azon = szakazon
GROUP BY mk, nev, tanar
HAVING COUNT(diakazon)&gt;=10;</t>
        </r>
      </text>
    </comment>
    <comment ref="B87" authorId="0" shapeId="0" xr:uid="{00000000-0006-0000-0100-000018000000}">
      <text>
        <r>
          <rPr>
            <sz val="9"/>
            <color indexed="81"/>
            <rFont val="Tahoma"/>
            <family val="2"/>
            <charset val="238"/>
          </rPr>
          <t>Például:
SELECT DISTINCT evfolyam, betujel
FROM diak, szakkor, jelentkezes
WHERE szakkor.azon = szakazon
AND diak.azon = diakazon
AND mk="Matematika"
ORDER BY evfolyam, betujel;</t>
        </r>
      </text>
    </comment>
    <comment ref="B92" authorId="0" shapeId="0" xr:uid="{00000000-0006-0000-0100-000019000000}">
      <text>
        <r>
          <rPr>
            <sz val="9"/>
            <color indexed="81"/>
            <rFont val="Tahoma"/>
            <family val="2"/>
            <charset val="238"/>
          </rPr>
          <t>Például:
6csak1011
SELECT DISTINCT szakkor.nev
FROM szakkor, diak, jelentkezes
WHERE diak.azon = diakazon
AND szakkor.azon = szakazon
AND (evfolyam=10 OR evfolyam=11)
AND szakkor.azon NOT IN (SELECT azon FROM 6seged);
6seged
SELECT DISTINCT szakkor.azon
FROM diak, szakkor, jelentkezes
WHERE szakkor.azon = szakazon
AND diak.azon = diakazon
AND evfolyam&lt;&gt;10 AND evfolyam&lt;&gt;11;</t>
        </r>
      </text>
    </comment>
    <comment ref="B97" authorId="0" shapeId="0" xr:uid="{00000000-0006-0000-0100-00001A000000}">
      <text>
        <r>
          <rPr>
            <sz val="9"/>
            <color indexed="81"/>
            <rFont val="Tahoma"/>
            <family val="2"/>
            <charset val="238"/>
          </rPr>
          <t>Például:
SELECT diak1.nev, szakkor.nev
FROM diak AS diak1, jelentkezes AS jelentkezes1,
szakkor, diak AS diak2, jelentkezes AS jelentkezes2
WHERE diak1.azon = jelentkezes1.diakazon
AND diak2.azon = jelentkezes2.diakazon
AND szakkor.azon = jelentkezes2.szakazon
AND diak2.evfolyam = diak1.evfolyam
AND jelentkezes1.szakazon = szakkor.azon
AND diak2.nev="Beke Fanni"
AND diak1.nev&lt;&gt;"Beke Fanni";</t>
        </r>
      </text>
    </comment>
    <comment ref="B99" authorId="0" shapeId="0" xr:uid="{00000000-0006-0000-0100-00001B000000}">
      <text>
        <r>
          <rPr>
            <sz val="9"/>
            <color indexed="81"/>
            <rFont val="Tahoma"/>
            <family val="2"/>
            <charset val="238"/>
          </rPr>
          <t>A pont jár akkor is, ha a lekérdezésben más mezőket is megjelenített.
Például:
SELECT szakkor.nev, tanar, diak.nev, evfolyam, betujel
FROM szakkor, diak, jelentkezes
WHERE diak.azon = diakazon
AND szakkor.azon = szakazon
AND mk="2. idegen nyelv";</t>
        </r>
      </text>
    </comment>
    <comment ref="B108" authorId="0" shapeId="0" xr:uid="{00000000-0006-0000-0100-00001C000000}">
      <text>
        <r>
          <rPr>
            <sz val="9"/>
            <color indexed="81"/>
            <rFont val="Tahoma"/>
            <family val="2"/>
            <charset val="238"/>
          </rPr>
          <t>Például 9legtobb:
SELECT TOP 1 evfolyam, betujel, COUNT(szakazon) AS darab
FROM 9seged
GROUP BY evfolyam, betujel
ORDER BY COUNT(szakazon) DESC;
9seged:
SELECT evfolyam, betujel, szakazon
FROM diak, jelentkezes
WHERE diak.azon = diakazon
GROUP BY evfolyam, betujel, szakazon;</t>
        </r>
      </text>
    </comment>
    <comment ref="B111" authorId="0" shapeId="0" xr:uid="{00000000-0006-0000-0100-00001D000000}">
      <text>
        <r>
          <rPr>
            <sz val="9"/>
            <color indexed="81"/>
            <rFont val="Tahoma"/>
            <family val="2"/>
            <charset val="238"/>
          </rPr>
          <t xml:space="preserve">A beadott program csak abban az esetben értékelhető, ha van a választott programozási környezetnek megfelelő forrásállomány, és az tartalmazza a részfeladat megoldásához tartozó forráskódot.
A pontozás során futási hibás vagy csak részlegesen jó megoldás is értékelendő. A részpontszám jár, ha a kódnak az adott elemnél feltüntetett megfelelő részlete hibátlan. A kiírás és bemenet során ékezethelyességtől függetlenül is járnak a pontok. A kommentben elhelyezett tartalom nem értékelhető. A kiíráshoz tartozó pontok járnak, ha a szöveg tartalmilag kifejezi a feladat szövegében vagy a kommunikációs mintában foglaltakat.
</t>
        </r>
      </text>
    </comment>
    <comment ref="B113" authorId="0" shapeId="0" xr:uid="{00000000-0006-0000-0100-00001E000000}">
      <text>
        <r>
          <rPr>
            <sz val="9"/>
            <color indexed="81"/>
            <rFont val="Tahoma"/>
            <family val="2"/>
            <charset val="238"/>
          </rPr>
          <t>A pont csak akkor jár, ha a név pontos, a program fordítási és futtatási hibát nem tartalmaz.</t>
        </r>
      </text>
    </comment>
    <comment ref="B116" authorId="0" shapeId="0" xr:uid="{00000000-0006-0000-0100-00001F000000}">
      <text>
        <r>
          <rPr>
            <sz val="9"/>
            <color indexed="81"/>
            <rFont val="Tahoma"/>
            <family val="2"/>
            <charset val="238"/>
          </rPr>
          <t>Az előző pont csak akkor jár, ha legalább 3 sorszámozott feladatra adott olyan megoldást, amely a sorszám megjelenítésén kívül mást is végzett.</t>
        </r>
      </text>
    </comment>
    <comment ref="B124" authorId="0" shapeId="0" xr:uid="{00000000-0006-0000-0100-000020000000}">
      <text>
        <r>
          <rPr>
            <sz val="9"/>
            <color indexed="81"/>
            <rFont val="Tahoma"/>
            <family val="2"/>
            <charset val="238"/>
          </rPr>
          <t>A pont jár akkor is, ha az értékek tévesek, de számítás eredményei.</t>
        </r>
      </text>
    </comment>
    <comment ref="B126" authorId="0" shapeId="0" xr:uid="{00000000-0006-0000-0100-000021000000}">
      <text>
        <r>
          <rPr>
            <sz val="9"/>
            <color indexed="81"/>
            <rFont val="Tahoma"/>
            <family val="2"/>
            <charset val="238"/>
          </rPr>
          <t>A pont nem bontható.</t>
        </r>
      </text>
    </comment>
    <comment ref="B131" authorId="0" shapeId="0" xr:uid="{00000000-0006-0000-0100-000022000000}">
      <text>
        <r>
          <rPr>
            <sz val="9"/>
            <color indexed="81"/>
            <rFont val="Tahoma"/>
            <family val="2"/>
            <charset val="238"/>
          </rPr>
          <t>A pont jár akkor is, ha a hivatkozás helyén szereplő feladatrészt nem vagy hibásan oldotta meg.</t>
        </r>
      </text>
    </comment>
    <comment ref="B135" authorId="0" shapeId="0" xr:uid="{00000000-0006-0000-0100-000023000000}">
      <text>
        <r>
          <rPr>
            <sz val="9"/>
            <color indexed="81"/>
            <rFont val="Tahoma"/>
            <family val="2"/>
            <charset val="238"/>
          </rPr>
          <t>A pont nem bontható.</t>
        </r>
      </text>
    </comment>
    <comment ref="B136" authorId="0" shapeId="0" xr:uid="{00000000-0006-0000-0100-000024000000}">
      <text>
        <r>
          <rPr>
            <sz val="9"/>
            <color indexed="81"/>
            <rFont val="Tahoma"/>
            <family val="2"/>
            <charset val="238"/>
          </rPr>
          <t>A pont jár akkor is, ha megjelenítette azokat is, amelyekből 0 darab van.</t>
        </r>
      </text>
    </comment>
    <comment ref="B141" authorId="0" shapeId="0" xr:uid="{00000000-0006-0000-0100-000025000000}">
      <text>
        <r>
          <rPr>
            <sz val="9"/>
            <color indexed="81"/>
            <rFont val="Tahoma"/>
            <family val="2"/>
            <charset val="238"/>
          </rPr>
          <t>A pont jár a vizsgálat helyességétől függetlenül.</t>
        </r>
      </text>
    </comment>
    <comment ref="B142" authorId="0" shapeId="0" xr:uid="{00000000-0006-0000-0100-000026000000}">
      <text>
        <r>
          <rPr>
            <sz val="9"/>
            <color indexed="81"/>
            <rFont val="Tahoma"/>
            <family val="2"/>
            <charset val="238"/>
          </rPr>
          <t>A pont nem adható meg, ha a fájlban nem csak különleges karakterek szerepelnek.
Az előző két pont jár akkor is, ha a sorszámozást nem 1-től, hanem 0-tól indította.</t>
        </r>
      </text>
    </comment>
    <comment ref="B143" authorId="0" shapeId="0" xr:uid="{00000000-0006-0000-0100-000027000000}">
      <text>
        <r>
          <rPr>
            <sz val="9"/>
            <color indexed="81"/>
            <rFont val="Tahoma"/>
            <family val="2"/>
            <charset val="238"/>
          </rPr>
          <t>A pont nem adható meg, ha a fájlban nem csak különleges karakterek szerepelnek.
A pont nem adható meg, ha a sorszámozást nem 1-től indította.</t>
        </r>
      </text>
    </comment>
    <comment ref="B144" authorId="0" shapeId="0" xr:uid="{00000000-0006-0000-0100-000028000000}">
      <text>
        <r>
          <rPr>
            <sz val="9"/>
            <color indexed="81"/>
            <rFont val="Tahoma"/>
            <family val="2"/>
            <charset val="238"/>
          </rPr>
          <t>A pont jár akkor is, ha a beírt értékek hibásak.</t>
        </r>
      </text>
    </comment>
    <comment ref="B148" authorId="0" shapeId="0" xr:uid="{00000000-0006-0000-0100-000029000000}">
      <text>
        <r>
          <rPr>
            <sz val="9"/>
            <color indexed="81"/>
            <rFont val="Tahoma"/>
            <family val="2"/>
            <charset val="238"/>
          </rPr>
          <t>A pont nem bontható.
A fenti négy pont attól függetlenül jár, hogy az utolsó két feladat közül melyikben valósította meg azt.</t>
        </r>
      </text>
    </comment>
    <comment ref="B153" authorId="0" shapeId="0" xr:uid="{00000000-0006-0000-0100-00002A000000}">
      <text>
        <r>
          <rPr>
            <sz val="9"/>
            <color indexed="81"/>
            <rFont val="Tahoma"/>
            <family val="2"/>
            <charset val="238"/>
          </rPr>
          <t>Az előző négy pont jár akkor is, ha az összegzést csak az utolsó feladatban végezte el.</t>
        </r>
      </text>
    </comment>
    <comment ref="B155" authorId="0" shapeId="0" xr:uid="{00000000-0006-0000-0100-00002B000000}">
      <text>
        <r>
          <rPr>
            <sz val="9"/>
            <color indexed="81"/>
            <rFont val="Tahoma"/>
            <family val="2"/>
            <charset val="238"/>
          </rPr>
          <t>A pont jár akkor is, ha az ösvény utolsó mezőjén túljutó játékosok bármelyikét határozta meg.</t>
        </r>
      </text>
    </comment>
    <comment ref="B156" authorId="0" shapeId="0" xr:uid="{00000000-0006-0000-0100-00002C000000}">
      <text>
        <r>
          <rPr>
            <sz val="9"/>
            <color indexed="81"/>
            <rFont val="Tahoma"/>
            <family val="2"/>
            <charset val="238"/>
          </rPr>
          <t>A pont jár akkor is, ha a megjelenített érték hibás, de számítás eredménye.</t>
        </r>
      </text>
    </comment>
    <comment ref="B164" authorId="0" shapeId="0" xr:uid="{00000000-0006-0000-0100-00002D000000}">
      <text>
        <r>
          <rPr>
            <sz val="9"/>
            <color indexed="81"/>
            <rFont val="Tahoma"/>
            <family val="2"/>
            <charset val="238"/>
          </rPr>
          <t>A pont nem adható meg, ha a nyertesek valamelyikét is megjelenítette.</t>
        </r>
      </text>
    </comment>
  </commentList>
</comments>
</file>

<file path=xl/sharedStrings.xml><?xml version="1.0" encoding="utf-8"?>
<sst xmlns="http://schemas.openxmlformats.org/spreadsheetml/2006/main" count="167" uniqueCount="163">
  <si>
    <t>Kedves Javító Kolléga!</t>
  </si>
  <si>
    <t>A "Vizsgazo1" munkalapból minden vizsgázó számára készítsen egy másolatot!</t>
  </si>
  <si>
    <r>
      <t xml:space="preserve">A </t>
    </r>
    <r>
      <rPr>
        <b/>
        <sz val="12"/>
        <color indexed="8"/>
        <rFont val="Times New Roman"/>
        <family val="1"/>
        <charset val="238"/>
      </rPr>
      <t>D1</t>
    </r>
    <r>
      <rPr>
        <sz val="12"/>
        <color indexed="8"/>
        <rFont val="Times New Roman"/>
        <family val="1"/>
        <charset val="238"/>
      </rPr>
      <t>-es cellába írja be a vizsgázó kódját</t>
    </r>
  </si>
  <si>
    <t>Az értékelést az "A" oszlopban végezze. Amennyiben a vizsgázó a feladatrészt megoldotta, írjon 1-est, ha nem, írjon 0-t! A táblázatkezelő ennek segítségével meghatározza a részpontszámokat és összpontszámokat.</t>
  </si>
  <si>
    <t>Az értékelés befejezése után az értékelési útmutató kinyomtatható. A nyomtatási terület ennek megfelelően beállított. 
A papírtakarékosság érdekében javasoljuk a füzetnyomtatás vagy a több oldal egy lapon beállítások használatát.</t>
  </si>
  <si>
    <r>
      <t xml:space="preserve">Amennyiben az egyes feladatokhoz megjegyzést szeretne írni, azt az </t>
    </r>
    <r>
      <rPr>
        <b/>
        <sz val="12"/>
        <color theme="1"/>
        <rFont val="Times New Roman"/>
        <family val="1"/>
        <charset val="238"/>
      </rPr>
      <t>E</t>
    </r>
    <r>
      <rPr>
        <sz val="12"/>
        <color theme="1"/>
        <rFont val="Times New Roman"/>
        <family val="1"/>
        <charset val="238"/>
      </rPr>
      <t xml:space="preserve"> oszlopban teheti meg, ez nem része a nyomtatási területnek.</t>
    </r>
  </si>
  <si>
    <t>Azonosító jel:</t>
  </si>
  <si>
    <t>Összesen:</t>
  </si>
  <si>
    <t>Üzenetek a képernyőn</t>
  </si>
  <si>
    <t>Bemutató létrehozása</t>
  </si>
  <si>
    <t>A diák egységes formázása és a szöveg beillesztése</t>
  </si>
  <si>
    <t>Formázási műveletek</t>
  </si>
  <si>
    <t>Adatbázis létrehozása és az adatok importálása</t>
  </si>
  <si>
    <t>Mezők megjelenítése a lekérdezésekben és a jelentésben</t>
  </si>
  <si>
    <t>A jelentés fejléce és a címkék tartalma a mintának megfelelő, ékezethelyes, a teljes adattartalom olvasható</t>
  </si>
  <si>
    <t>Minden képernyőre írást igénylő, megoldott feladatnál megjelenítette a sorszámot</t>
  </si>
  <si>
    <t>1. Üzemanyag</t>
  </si>
  <si>
    <r>
      <t xml:space="preserve">Létezik bemutató </t>
    </r>
    <r>
      <rPr>
        <i/>
        <sz val="11"/>
        <color theme="1"/>
        <rFont val="Courier New"/>
        <family val="3"/>
        <charset val="238"/>
      </rPr>
      <t>uzemanyag</t>
    </r>
    <r>
      <rPr>
        <sz val="12"/>
        <color theme="1"/>
        <rFont val="Times New Roman"/>
        <family val="1"/>
        <charset val="238"/>
      </rPr>
      <t xml:space="preserve"> néven, és a diák mérete 33×18,5±0,01 cm</t>
    </r>
  </si>
  <si>
    <t>A diák szövege egységesen Arial (Nimbus Sans) betűtípusú</t>
  </si>
  <si>
    <t>Fekete és piros téglalapok beszúrása</t>
  </si>
  <si>
    <t>Egy dián legalább 1 darab 2,7 cm magasságú, teljes diaszélességű, szegély nélküli, piros vagy fekete kitöltésű téglalap van</t>
  </si>
  <si>
    <t>Egy dián a bal felső saroktól függőlegesen 4,4 cm-re egy fekete és 11,2 cm-re egy piros kitöltésű téglalap van</t>
  </si>
  <si>
    <t>Az első négy dián a bal felső saroktól függőlegesen 4,4 cm-re egy fekete és 11,2 cm-re egy piros kitöltésű, 2,7 cm magasságú, teljes diaszélességű, szegély nélküli téglalap van</t>
  </si>
  <si>
    <t>Az első és második dia tartalma</t>
  </si>
  <si>
    <t>Az első dián a cím szövege helyes, vízszintesen középre igazított, és nincs előtte felsorolásjel</t>
  </si>
  <si>
    <t>A második dián a cím és a szöveg helyes, a szöveg előtt nincs felsorolásjel, a cím vízszintesen középre, a szöveg a szövegdobozon belül balra igazított, valamint a szöveg dőlt betűstílusú</t>
  </si>
  <si>
    <t>A harmadik vagy negyedik dia felső feliratainak elkészítése</t>
  </si>
  <si>
    <r>
      <t>A fekete téglalap bal oldalán, ahhoz képest függőlegesen középen, fehér betűszínnel a „</t>
    </r>
    <r>
      <rPr>
        <sz val="12"/>
        <color rgb="FF000000"/>
        <rFont val="Times New Roman"/>
        <family val="1"/>
        <charset val="238"/>
      </rPr>
      <t>régi jelölések</t>
    </r>
    <r>
      <rPr>
        <sz val="12"/>
        <color theme="1"/>
        <rFont val="Times New Roman"/>
        <family val="1"/>
        <charset val="238"/>
      </rPr>
      <t>” szöveg látható</t>
    </r>
  </si>
  <si>
    <r>
      <t>Beszúrta a „</t>
    </r>
    <r>
      <rPr>
        <sz val="12"/>
        <color rgb="FF000000"/>
        <rFont val="Times New Roman"/>
        <family val="1"/>
        <charset val="238"/>
      </rPr>
      <t>régi jelölések</t>
    </r>
    <r>
      <rPr>
        <sz val="12"/>
        <color theme="1"/>
        <rFont val="Times New Roman"/>
        <family val="1"/>
        <charset val="238"/>
      </rPr>
      <t>” feliratot 60-80 pontos betűmérettel, félkövér betűstílussal, világosszürke betűszínnel a fekete téglalap fölé</t>
    </r>
  </si>
  <si>
    <t>A téglalap a felirat betűinek alsó szárát takarja</t>
  </si>
  <si>
    <t>A harmadik vagy negyedik dia felső matricasorának elkészítése</t>
  </si>
  <si>
    <t>Egy megfelelő alakzatot beszúrt a fekete téglalap elé, az alakzat befoglaló téglalapjának szélessége 5 cm, szegélye fehér, 4 pont vastagságú</t>
  </si>
  <si>
    <t>A körök és a rombusz közül egyet beszúrt a fekete téglalap elé, és ennek a kitöltése helyes: világoszöld vagy citromsárga</t>
  </si>
  <si>
    <t>3 kört és 1 rombuszt beszúrt, amelyek mérete, kitöltése és szegélyszíne helyes</t>
  </si>
  <si>
    <t>Mind a négy matricán további hasonló alakzat van, amely fekete, 2 pont vastag szegélyű, kitöltés nélküli, 4,8 cm széles befoglaló téglalapú, valamint függőlegesen és vízszintesen is középre igazított a külső alakzathoz képest</t>
  </si>
  <si>
    <t>Mind a négy matrica közepén megfelelő szöveg van akkora betűmérettel, hogy a szegélyekhez nem ér hozzá, de az átmérő felénél hosszabb</t>
  </si>
  <si>
    <t>A négy matricában legalább kétféle a betűméret, és Arial (Nimbus Sans) betűtípust alkalmazott</t>
  </si>
  <si>
    <t>A negyedik dia elkészítése</t>
  </si>
  <si>
    <t>A negyedik dia tartalmazza a harmadik dia minden elemét</t>
  </si>
  <si>
    <r>
      <t>A piros téglalap bal oldalán, függőlegesen középen, fehér betűszínnel az „</t>
    </r>
    <r>
      <rPr>
        <sz val="12"/>
        <color rgb="FF000000"/>
        <rFont val="Times New Roman"/>
        <family val="1"/>
        <charset val="238"/>
      </rPr>
      <t>új jelölések</t>
    </r>
    <r>
      <rPr>
        <sz val="12"/>
        <color theme="1"/>
        <rFont val="Times New Roman"/>
        <family val="1"/>
        <charset val="238"/>
      </rPr>
      <t>” szöveg van</t>
    </r>
  </si>
  <si>
    <r>
      <t>Beszúrta az „</t>
    </r>
    <r>
      <rPr>
        <sz val="12"/>
        <color rgb="FF000000"/>
        <rFont val="Times New Roman"/>
        <family val="1"/>
        <charset val="238"/>
      </rPr>
      <t>új jelölések</t>
    </r>
    <r>
      <rPr>
        <sz val="12"/>
        <color theme="1"/>
        <rFont val="Times New Roman"/>
        <family val="1"/>
        <charset val="238"/>
      </rPr>
      <t>” feliratot 60-80 pontos betűmérettel, félkövér betűstílussal, világosszürke betűszínnel a piros téglalap fölé</t>
    </r>
  </si>
  <si>
    <t>Új matricának a körök, a lekerekített téglalap és a rombusz közül egyet beszúrt, amelynek a kitöltése fehér, és befoglaló téglalapjának szélessége 5 cm, szegélye fekete, 4 pont vastagságú</t>
  </si>
  <si>
    <t>Az új matricáknak 2 kört, egy lekerekített téglalapot és 1 rombuszt beszúrt, amelyek mérete, kitöltése és szegélyszíne helyes</t>
  </si>
  <si>
    <t>Mind a négy új matrica közepén megfelelő szöveg van akkora betűmérettel, hogy a szegélyekhez nem ér hozzá, de az átmérő felénél hosszabb</t>
  </si>
  <si>
    <t>A négy matricában fekete betűszínt, félkövér betűstílust és Arial (Nimbus Sans) betűtípust alkalmazott</t>
  </si>
  <si>
    <t>Legalább egy olyan nyíl van egy régi és egy új matricapár között, amely világoskék színű, szegély nélküli, és befoglaló téglalapjának magassága 1 és 2 cm közötti</t>
  </si>
  <si>
    <t>Négy azonos méretű olyan nyíl van a régi és az új matricapárok között, amelyek világoskék színűek, szegély nélküliek, és befoglaló téglalapjuk magassága 1 és 2 cm közötti</t>
  </si>
  <si>
    <t>Az ötödik dia elkészítése</t>
  </si>
  <si>
    <t>A dia szövege helyes, nincs előtte felsorolásjel, balra zárt, és a cím vízszintesen középre igazított</t>
  </si>
  <si>
    <t>Az első és a harmadik bekezdés piros betűszínű, dőlt és félkövér betűstílusú</t>
  </si>
  <si>
    <t>A második és a negyedik bekezdésben az üzemanyagok jelölése félkövér betűstílusú</t>
  </si>
  <si>
    <t>2. Próbavizsga</t>
  </si>
  <si>
    <t>Az adatok beolvasása és a fájl mentése</t>
  </si>
  <si>
    <r>
      <t xml:space="preserve">A </t>
    </r>
    <r>
      <rPr>
        <i/>
        <sz val="11"/>
        <color theme="1"/>
        <rFont val="Courier New"/>
        <family val="3"/>
        <charset val="238"/>
      </rPr>
      <t xml:space="preserve">jelentkez.txt </t>
    </r>
    <r>
      <rPr>
        <sz val="12"/>
        <color theme="1"/>
        <rFont val="Times New Roman"/>
        <family val="1"/>
        <charset val="238"/>
      </rPr>
      <t xml:space="preserve">állomány teljes tartalmát elhelyezte az </t>
    </r>
    <r>
      <rPr>
        <i/>
        <sz val="12"/>
        <color theme="1"/>
        <rFont val="Times New Roman"/>
        <family val="1"/>
        <charset val="238"/>
      </rPr>
      <t>A1</t>
    </r>
    <r>
      <rPr>
        <sz val="12"/>
        <color theme="1"/>
        <rFont val="Times New Roman"/>
        <family val="1"/>
        <charset val="238"/>
      </rPr>
      <t xml:space="preserve">-es cellától kiindulva, valamint a munkafüzetet </t>
    </r>
    <r>
      <rPr>
        <i/>
        <sz val="11"/>
        <color theme="1"/>
        <rFont val="Courier New"/>
        <family val="3"/>
        <charset val="238"/>
      </rPr>
      <t>probavizsga</t>
    </r>
    <r>
      <rPr>
        <sz val="12"/>
        <color theme="1"/>
        <rFont val="Times New Roman"/>
        <family val="1"/>
        <charset val="238"/>
      </rPr>
      <t xml:space="preserve"> néven a program saját formátumában mentette</t>
    </r>
  </si>
  <si>
    <t>Adatok beírása</t>
  </si>
  <si>
    <r>
      <t xml:space="preserve">Az </t>
    </r>
    <r>
      <rPr>
        <i/>
        <sz val="12"/>
        <color theme="1"/>
        <rFont val="Times New Roman"/>
        <family val="1"/>
        <charset val="238"/>
      </rPr>
      <t>E1</t>
    </r>
    <r>
      <rPr>
        <sz val="12"/>
        <color theme="1"/>
        <rFont val="Times New Roman"/>
        <family val="1"/>
        <charset val="238"/>
      </rPr>
      <t>-es cellában az „</t>
    </r>
    <r>
      <rPr>
        <sz val="12"/>
        <color rgb="FF000000"/>
        <rFont val="Times New Roman"/>
        <family val="1"/>
        <charset val="238"/>
      </rPr>
      <t>Osztály</t>
    </r>
    <r>
      <rPr>
        <sz val="12"/>
        <color theme="1"/>
        <rFont val="Times New Roman"/>
        <family val="1"/>
        <charset val="238"/>
      </rPr>
      <t xml:space="preserve">” szót, az </t>
    </r>
    <r>
      <rPr>
        <i/>
        <sz val="12"/>
        <color theme="1"/>
        <rFont val="Times New Roman"/>
        <family val="1"/>
        <charset val="238"/>
      </rPr>
      <t>F1</t>
    </r>
    <r>
      <rPr>
        <sz val="12"/>
        <color theme="1"/>
        <rFont val="Times New Roman"/>
        <family val="1"/>
        <charset val="238"/>
      </rPr>
      <t>-es cellában a „</t>
    </r>
    <r>
      <rPr>
        <sz val="12"/>
        <color rgb="FF000000"/>
        <rFont val="Times New Roman"/>
        <family val="1"/>
        <charset val="238"/>
      </rPr>
      <t>Jelentkező</t>
    </r>
    <r>
      <rPr>
        <sz val="12"/>
        <color theme="1"/>
        <rFont val="Times New Roman"/>
        <family val="1"/>
        <charset val="238"/>
      </rPr>
      <t xml:space="preserve">” szót, az </t>
    </r>
    <r>
      <rPr>
        <i/>
        <sz val="12"/>
        <color theme="1"/>
        <rFont val="Times New Roman"/>
        <family val="1"/>
        <charset val="238"/>
      </rPr>
      <t xml:space="preserve">E2:E6 </t>
    </r>
    <r>
      <rPr>
        <sz val="12"/>
        <color theme="1"/>
        <rFont val="Times New Roman"/>
        <family val="1"/>
        <charset val="238"/>
      </rPr>
      <t xml:space="preserve">tartomány celláiban az osztályok jelét (11. A, …, 11. E) sorrendben, az </t>
    </r>
    <r>
      <rPr>
        <i/>
        <sz val="12"/>
        <color theme="1"/>
        <rFont val="Times New Roman"/>
        <family val="1"/>
        <charset val="238"/>
      </rPr>
      <t>I1</t>
    </r>
    <r>
      <rPr>
        <sz val="12"/>
        <color theme="1"/>
        <rFont val="Times New Roman"/>
        <family val="1"/>
        <charset val="238"/>
      </rPr>
      <t>-es cellában az „</t>
    </r>
    <r>
      <rPr>
        <sz val="12"/>
        <color rgb="FF000000"/>
        <rFont val="Times New Roman"/>
        <family val="1"/>
        <charset val="238"/>
      </rPr>
      <t>Osztály</t>
    </r>
    <r>
      <rPr>
        <sz val="12"/>
        <color theme="1"/>
        <rFont val="Times New Roman"/>
        <family val="1"/>
        <charset val="238"/>
      </rPr>
      <t xml:space="preserve">” szót és a </t>
    </r>
    <r>
      <rPr>
        <i/>
        <sz val="12"/>
        <color theme="1"/>
        <rFont val="Times New Roman"/>
        <family val="1"/>
        <charset val="238"/>
      </rPr>
      <t>H3:H5</t>
    </r>
    <r>
      <rPr>
        <sz val="12"/>
        <color theme="1"/>
        <rFont val="Times New Roman"/>
        <family val="1"/>
        <charset val="238"/>
      </rPr>
      <t xml:space="preserve"> tartomány celláiban az 1-3 számokat elhelyezte </t>
    </r>
  </si>
  <si>
    <t>Jelentkezők száma osztályonként</t>
  </si>
  <si>
    <r>
      <t xml:space="preserve">Az </t>
    </r>
    <r>
      <rPr>
        <i/>
        <sz val="12"/>
        <color theme="1"/>
        <rFont val="Times New Roman"/>
        <family val="1"/>
        <charset val="238"/>
      </rPr>
      <t>F2:F6</t>
    </r>
    <r>
      <rPr>
        <sz val="12"/>
        <color theme="1"/>
        <rFont val="Times New Roman"/>
        <family val="1"/>
        <charset val="238"/>
      </rPr>
      <t xml:space="preserve"> tartománynak legalább egy cellájában meghatározta az adott osztály jelentkezőinek számát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</si>
  <si>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F2:F6</t>
    </r>
    <r>
      <rPr>
        <sz val="12"/>
        <color theme="1"/>
        <rFont val="Times New Roman"/>
        <family val="1"/>
        <charset val="238"/>
      </rPr>
      <t xml:space="preserve"> tartomány minden cellájában helyes a képlet és másolható</t>
    </r>
  </si>
  <si>
    <r>
      <t>Az értékek „</t>
    </r>
    <r>
      <rPr>
        <sz val="12"/>
        <color rgb="FF000000"/>
        <rFont val="Times New Roman"/>
        <family val="1"/>
        <charset val="238"/>
      </rPr>
      <t xml:space="preserve"> fő</t>
    </r>
    <r>
      <rPr>
        <sz val="12"/>
        <color theme="1"/>
        <rFont val="Times New Roman"/>
        <family val="1"/>
        <charset val="238"/>
      </rPr>
      <t>” egyéni formátummal jelennek meg</t>
    </r>
  </si>
  <si>
    <t>Adott osztály jelentkezői</t>
  </si>
  <si>
    <t>A megadott osztály tanulói mellett helyes sorszámok jelennek meg</t>
  </si>
  <si>
    <t>A megadott osztálytól eltérő osztályok tanulói esetén semmi nem jelenik meg a megfelelő cellában</t>
  </si>
  <si>
    <t>Az első három jelentkező neve</t>
  </si>
  <si>
    <r>
      <t xml:space="preserve">Az </t>
    </r>
    <r>
      <rPr>
        <i/>
        <sz val="12"/>
        <color theme="1"/>
        <rFont val="Times New Roman"/>
        <family val="1"/>
        <charset val="238"/>
      </rPr>
      <t>I3:I5</t>
    </r>
    <r>
      <rPr>
        <sz val="12"/>
        <color theme="1"/>
        <rFont val="Times New Roman"/>
        <family val="1"/>
        <charset val="238"/>
      </rPr>
      <t xml:space="preserve"> tartomány celláinak egyikében helyes név jelenik meg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</si>
  <si>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I3:I5</t>
    </r>
    <r>
      <rPr>
        <sz val="12"/>
        <color theme="1"/>
        <rFont val="Times New Roman"/>
        <family val="1"/>
        <charset val="238"/>
      </rPr>
      <t xml:space="preserve"> tartomány minden cellájában helyes a képlet és másolható</t>
    </r>
  </si>
  <si>
    <t>Első betűk meghatározása</t>
  </si>
  <si>
    <r>
      <t xml:space="preserve">A </t>
    </r>
    <r>
      <rPr>
        <i/>
        <sz val="12"/>
        <color theme="1"/>
        <rFont val="Times New Roman"/>
        <family val="1"/>
        <charset val="238"/>
      </rPr>
      <t>J3:J5</t>
    </r>
    <r>
      <rPr>
        <sz val="12"/>
        <color theme="1"/>
        <rFont val="Times New Roman"/>
        <family val="1"/>
        <charset val="238"/>
      </rPr>
      <t xml:space="preserve"> tartomány egy cellájában a vezetéknév vagy utónév első karaktere megfelelő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</si>
  <si>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J3:J5</t>
    </r>
    <r>
      <rPr>
        <sz val="12"/>
        <color theme="1"/>
        <rFont val="Times New Roman"/>
        <family val="1"/>
        <charset val="238"/>
      </rPr>
      <t xml:space="preserve"> tartomány minden cellájában a vezetéknév és az utónév első karaktere megfelelő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</si>
  <si>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E2:F6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2"/>
        <color theme="1"/>
        <rFont val="Times New Roman"/>
        <family val="1"/>
        <charset val="238"/>
      </rPr>
      <t>H3:J5</t>
    </r>
    <r>
      <rPr>
        <sz val="12"/>
        <color theme="1"/>
        <rFont val="Times New Roman"/>
        <family val="1"/>
        <charset val="238"/>
      </rPr>
      <t xml:space="preserve"> tartomány celláinak kitöltése világosszürke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</si>
  <si>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A2:B38</t>
    </r>
    <r>
      <rPr>
        <sz val="12"/>
        <color theme="1"/>
        <rFont val="Times New Roman"/>
        <family val="1"/>
        <charset val="238"/>
      </rPr>
      <t xml:space="preserve"> tartomány celláiban feltételes formázással az </t>
    </r>
    <r>
      <rPr>
        <i/>
        <sz val="12"/>
        <color theme="1"/>
        <rFont val="Times New Roman"/>
        <family val="1"/>
        <charset val="238"/>
      </rPr>
      <t>I2</t>
    </r>
    <r>
      <rPr>
        <sz val="12"/>
        <color theme="1"/>
        <rFont val="Times New Roman"/>
        <family val="1"/>
        <charset val="238"/>
      </rPr>
      <t>-es cella tartalma szerinti osztályok és a hozzájuk tartozó nevek cellái zöldek</t>
    </r>
  </si>
  <si>
    <r>
      <t xml:space="preserve">Minden adat olvasható, az </t>
    </r>
    <r>
      <rPr>
        <i/>
        <sz val="12"/>
        <color theme="1"/>
        <rFont val="Times New Roman"/>
        <family val="1"/>
        <charset val="238"/>
      </rPr>
      <t>A</t>
    </r>
    <r>
      <rPr>
        <sz val="12"/>
        <color theme="1"/>
        <rFont val="Times New Roman"/>
        <family val="1"/>
        <charset val="238"/>
      </rPr>
      <t xml:space="preserve">, illetve az </t>
    </r>
    <r>
      <rPr>
        <i/>
        <sz val="12"/>
        <color theme="1"/>
        <rFont val="Times New Roman"/>
        <family val="1"/>
        <charset val="238"/>
      </rPr>
      <t>I</t>
    </r>
    <r>
      <rPr>
        <sz val="12"/>
        <color theme="1"/>
        <rFont val="Times New Roman"/>
        <family val="1"/>
        <charset val="238"/>
      </rPr>
      <t xml:space="preserve"> oszlopok szélessége megegyezik, továbbá az </t>
    </r>
    <r>
      <rPr>
        <i/>
        <sz val="12"/>
        <color theme="1"/>
        <rFont val="Times New Roman"/>
        <family val="1"/>
        <charset val="238"/>
      </rPr>
      <t>I1</t>
    </r>
    <r>
      <rPr>
        <sz val="12"/>
        <color theme="1"/>
        <rFont val="Times New Roman"/>
        <family val="1"/>
        <charset val="238"/>
      </rPr>
      <t xml:space="preserve">-es és az </t>
    </r>
    <r>
      <rPr>
        <i/>
        <sz val="12"/>
        <color theme="1"/>
        <rFont val="Times New Roman"/>
        <family val="1"/>
        <charset val="238"/>
      </rPr>
      <t>I2</t>
    </r>
    <r>
      <rPr>
        <sz val="12"/>
        <color theme="1"/>
        <rFont val="Times New Roman"/>
        <family val="1"/>
        <charset val="238"/>
      </rPr>
      <t>-es cellák tartalmát vízszintesen középre igazította</t>
    </r>
  </si>
  <si>
    <t>3. Szakkörök</t>
  </si>
  <si>
    <r>
      <t xml:space="preserve">Az adatbázis létrehozása </t>
    </r>
    <r>
      <rPr>
        <i/>
        <sz val="11"/>
        <color theme="1"/>
        <rFont val="Courier New"/>
        <family val="3"/>
        <charset val="238"/>
      </rPr>
      <t>szakkorok</t>
    </r>
    <r>
      <rPr>
        <sz val="12"/>
        <color theme="1"/>
        <rFont val="Times New Roman"/>
        <family val="1"/>
        <charset val="238"/>
      </rPr>
      <t xml:space="preserve"> néven és az adatok importálása a táblákba helyes</t>
    </r>
  </si>
  <si>
    <t>A lekérdezésekben felesleges mezőket nem jelenített meg (a jelentést előkészítő lekérdezés kivételével)</t>
  </si>
  <si>
    <r>
      <t>2oszt10c</t>
    </r>
    <r>
      <rPr>
        <sz val="12"/>
        <color theme="1"/>
        <rFont val="Times New Roman"/>
        <family val="1"/>
        <charset val="238"/>
      </rPr>
      <t xml:space="preserve"> lekérdezés</t>
    </r>
  </si>
  <si>
    <t>A diákok nevét megjelenítette, minden név csak egyszer jelenik meg, a nevek ábécérendben vannak</t>
  </si>
  <si>
    <t>Helyesen szűrt az osztály évfolyamára és betűjelére</t>
  </si>
  <si>
    <r>
      <t>3progrob</t>
    </r>
    <r>
      <rPr>
        <sz val="12"/>
        <color theme="1"/>
        <rFont val="Times New Roman"/>
        <family val="1"/>
        <charset val="238"/>
      </rPr>
      <t xml:space="preserve"> lekérdezés</t>
    </r>
  </si>
  <si>
    <t>Megjeleníti a tanár és a szakkör nevét</t>
  </si>
  <si>
    <t>A két szűrési feltétel és azok összekapcsolása helyes</t>
  </si>
  <si>
    <r>
      <t>4legalabb10</t>
    </r>
    <r>
      <rPr>
        <sz val="12"/>
        <color theme="1"/>
        <rFont val="Times New Roman"/>
        <family val="1"/>
        <charset val="238"/>
      </rPr>
      <t xml:space="preserve"> lekérdezés</t>
    </r>
  </si>
  <si>
    <t>A szakkörök nevét, a meghirdető munkaközösség és a szakkört tartó tanár nevét, valamint a jelentkezők számát megjelenítette</t>
  </si>
  <si>
    <t>Megállapította, hogy melyik szakkörre hányan jelentkeztek</t>
  </si>
  <si>
    <t>Helyesen szűrt azokra a szakkörökre, amelyekre legalább 10 diák jelentkezett</t>
  </si>
  <si>
    <r>
      <t>5matmk</t>
    </r>
    <r>
      <rPr>
        <sz val="12"/>
        <color theme="1"/>
        <rFont val="Times New Roman"/>
        <family val="1"/>
        <charset val="238"/>
      </rPr>
      <t xml:space="preserve"> lekérdezés</t>
    </r>
  </si>
  <si>
    <t>Megjeleníti az osztály évfolyamát és betűjelét, és a lista az évfolyam, azon belül az osztály betűjele szerint rendezett</t>
  </si>
  <si>
    <r>
      <t>Helyesen szűr a meghirdető „</t>
    </r>
    <r>
      <rPr>
        <b/>
        <i/>
        <sz val="12"/>
        <color theme="1"/>
        <rFont val="Times New Roman"/>
        <family val="1"/>
        <charset val="238"/>
      </rPr>
      <t>Matematika</t>
    </r>
    <r>
      <rPr>
        <sz val="12"/>
        <color theme="1"/>
        <rFont val="Times New Roman"/>
        <family val="1"/>
        <charset val="238"/>
      </rPr>
      <t>” munkaközösségre</t>
    </r>
  </si>
  <si>
    <t>Minden osztály csak egyszer jelenik meg</t>
  </si>
  <si>
    <r>
      <t xml:space="preserve">6csak1011 </t>
    </r>
    <r>
      <rPr>
        <sz val="12"/>
        <color theme="1"/>
        <rFont val="Times New Roman"/>
        <family val="1"/>
        <charset val="238"/>
      </rPr>
      <t>lekérdezés</t>
    </r>
  </si>
  <si>
    <t>Helyesen választja ki azokat a szakköröket, amelyekre a 10. vagy a 11. évfolyamról jelentkeztek diákok</t>
  </si>
  <si>
    <t>Helyesen választja vagy zárja ki azokat a szakköröket, amelyekre nem jelentkezett 10. és 11. évfolyamos diák</t>
  </si>
  <si>
    <t>Helyesen választja ki azokat a szakköröket, amelyekre jelentkezett diák a 10. vagy a 11. évfolyamról, de más évfolyamról nem</t>
  </si>
  <si>
    <t>A szakkörök nevét megjeleníti, minden név csak egyszer jelenik meg</t>
  </si>
  <si>
    <r>
      <t>7bekevel</t>
    </r>
    <r>
      <rPr>
        <sz val="12"/>
        <color theme="1"/>
        <rFont val="Times New Roman"/>
        <family val="1"/>
        <charset val="238"/>
      </rPr>
      <t xml:space="preserve"> lekérdezés</t>
    </r>
  </si>
  <si>
    <r>
      <t>Helyesen szűr azokra a szakkörökre, amelyekre „</t>
    </r>
    <r>
      <rPr>
        <b/>
        <i/>
        <sz val="12"/>
        <color theme="1"/>
        <rFont val="Times New Roman"/>
        <family val="1"/>
        <charset val="238"/>
      </rPr>
      <t>Beke Fanni</t>
    </r>
    <r>
      <rPr>
        <sz val="12"/>
        <color theme="1"/>
        <rFont val="Times New Roman"/>
        <family val="1"/>
        <charset val="238"/>
      </rPr>
      <t>” jelentkezett</t>
    </r>
  </si>
  <si>
    <r>
      <t>Helyesen szűr azokra a diákokra, akik egy évfolyamra járnak „</t>
    </r>
    <r>
      <rPr>
        <b/>
        <i/>
        <sz val="12"/>
        <color theme="1"/>
        <rFont val="Times New Roman"/>
        <family val="1"/>
        <charset val="238"/>
      </rPr>
      <t>Beke Fanni</t>
    </r>
    <r>
      <rPr>
        <sz val="12"/>
        <color theme="1"/>
        <rFont val="Times New Roman"/>
        <family val="1"/>
        <charset val="238"/>
      </rPr>
      <t>”-val</t>
    </r>
  </si>
  <si>
    <r>
      <t>Helyesen szűr azokra a diákokra, akik jelentkeztek közös szakkörre „</t>
    </r>
    <r>
      <rPr>
        <b/>
        <i/>
        <sz val="12"/>
        <color theme="1"/>
        <rFont val="Times New Roman"/>
        <family val="1"/>
        <charset val="238"/>
      </rPr>
      <t>Beke Fanni</t>
    </r>
    <r>
      <rPr>
        <sz val="12"/>
        <color theme="1"/>
        <rFont val="Times New Roman"/>
        <family val="1"/>
        <charset val="238"/>
      </rPr>
      <t>”-val</t>
    </r>
  </si>
  <si>
    <r>
      <t>Megjeleníti a diákok és a szakkörök nevét, de a „</t>
    </r>
    <r>
      <rPr>
        <b/>
        <i/>
        <sz val="12"/>
        <color theme="1"/>
        <rFont val="Times New Roman"/>
        <family val="1"/>
        <charset val="238"/>
      </rPr>
      <t>Beke Fanni</t>
    </r>
    <r>
      <rPr>
        <sz val="12"/>
        <color theme="1"/>
        <rFont val="Times New Roman"/>
        <family val="1"/>
        <charset val="238"/>
      </rPr>
      <t>” név nem szerepel; a teljes feltétel jó, és a táblák kapcsolata helyes</t>
    </r>
  </si>
  <si>
    <r>
      <t>8nyelv2</t>
    </r>
    <r>
      <rPr>
        <sz val="12"/>
        <color theme="1"/>
        <rFont val="Times New Roman"/>
        <family val="1"/>
        <charset val="238"/>
      </rPr>
      <t xml:space="preserve"> lekérdezés és jelentés</t>
    </r>
  </si>
  <si>
    <r>
      <t>Lekérdezést készített, amelyben a „</t>
    </r>
    <r>
      <rPr>
        <b/>
        <i/>
        <sz val="12"/>
        <color theme="1"/>
        <rFont val="Times New Roman"/>
        <family val="1"/>
        <charset val="238"/>
      </rPr>
      <t>2. idegen nyelv</t>
    </r>
    <r>
      <rPr>
        <sz val="12"/>
        <color theme="1"/>
        <rFont val="Times New Roman"/>
        <family val="1"/>
        <charset val="238"/>
      </rPr>
      <t>” munkaközösség által meghirdetett szakkörök és a jelentkezett diákok adatai szerepelnek</t>
    </r>
  </si>
  <si>
    <t>Jelentést készített, amelyben megjelenik a szakkör címe, a szakkört tartó tanár neve, a szakkörre jelentkezett diákok neve, évfolyama és osztálya</t>
  </si>
  <si>
    <t>A jelentésben a szakkörök szerint csoportosítva jelennek meg az adatok</t>
  </si>
  <si>
    <t>A diákok egy-egy szakkörön belül ábécérendben következnek</t>
  </si>
  <si>
    <r>
      <t>9legtobb</t>
    </r>
    <r>
      <rPr>
        <sz val="12"/>
        <color theme="1"/>
        <rFont val="Times New Roman"/>
        <family val="1"/>
        <charset val="238"/>
      </rPr>
      <t xml:space="preserve"> lekérdezés</t>
    </r>
  </si>
  <si>
    <t>Megállapítja, hogy egy-egy osztályból mely szakkörökre jelentkeztek a diákok</t>
  </si>
  <si>
    <t>Megállapítja, hogy egy-egy osztályból hány különböző szakkörre jelentkeztek a diákok</t>
  </si>
  <si>
    <t>Kiválasztja azt az osztályt, amelynek diákjai a legtöbb különböző szakkörre jelentkeztek</t>
  </si>
  <si>
    <t>Megjeleníti a különböző szakkörök számát, és annak az osztálynak az évfolyamát és betűjelét, amelyből a legtöbb különböző szakkörre jelentkeztek</t>
  </si>
  <si>
    <t>4. Társas</t>
  </si>
  <si>
    <r>
      <t xml:space="preserve">Létezik a program </t>
    </r>
    <r>
      <rPr>
        <i/>
        <sz val="11"/>
        <color theme="1"/>
        <rFont val="Courier New"/>
        <family val="3"/>
        <charset val="238"/>
      </rPr>
      <t>lud</t>
    </r>
    <r>
      <rPr>
        <sz val="12"/>
        <color theme="1"/>
        <rFont val="Times New Roman"/>
        <family val="1"/>
        <charset val="238"/>
      </rPr>
      <t xml:space="preserve"> néven</t>
    </r>
  </si>
  <si>
    <r>
      <t xml:space="preserve">Létrehozta a program forráskódját </t>
    </r>
    <r>
      <rPr>
        <i/>
        <sz val="11"/>
        <color theme="1"/>
        <rFont val="Courier New"/>
        <family val="3"/>
        <charset val="238"/>
      </rPr>
      <t>lud</t>
    </r>
    <r>
      <rPr>
        <sz val="12"/>
        <color theme="1"/>
        <rFont val="Times New Roman"/>
        <family val="1"/>
        <charset val="238"/>
      </rPr>
      <t xml:space="preserve"> néven</t>
    </r>
  </si>
  <si>
    <t>Van olyan képernyőre írást igénylő feladat, amelynél megjelenítette a feladat sorszámát, és amikor kellett, utalt a felhasználótól bekért tartalomra</t>
  </si>
  <si>
    <t>A bemeneti fájlok feldolgozása és az adatok tárolása</t>
  </si>
  <si>
    <t>Megnyitotta a megadott fájlok egyikét beolvasás előtt, és annak egy adatsorát helyesen beolvasta</t>
  </si>
  <si>
    <t>Az ösvények adatait helyesen beolvasta és eltárolta</t>
  </si>
  <si>
    <t>A dobásokat helyesen beolvasta és eltárolta</t>
  </si>
  <si>
    <t>Bemeneti fájlok elemszámának megjelenítése</t>
  </si>
  <si>
    <r>
      <t xml:space="preserve">Helyesen határozta meg az </t>
    </r>
    <r>
      <rPr>
        <i/>
        <sz val="11"/>
        <color theme="1"/>
        <rFont val="Courier New"/>
        <family val="3"/>
        <charset val="238"/>
      </rPr>
      <t>osvenyek.txt</t>
    </r>
    <r>
      <rPr>
        <sz val="12"/>
        <color theme="1"/>
        <rFont val="Times New Roman"/>
        <family val="1"/>
        <charset val="238"/>
      </rPr>
      <t xml:space="preserve"> fájlban tárolt ösvények számát</t>
    </r>
  </si>
  <si>
    <r>
      <t xml:space="preserve">Helyesen határozta meg a </t>
    </r>
    <r>
      <rPr>
        <i/>
        <sz val="11"/>
        <color theme="1"/>
        <rFont val="Courier New"/>
        <family val="3"/>
        <charset val="238"/>
      </rPr>
      <t>dobasok.txt</t>
    </r>
    <r>
      <rPr>
        <sz val="12"/>
        <color theme="1"/>
        <rFont val="Times New Roman"/>
        <family val="1"/>
        <charset val="238"/>
      </rPr>
      <t xml:space="preserve"> fájlban tárolt dobások számát</t>
    </r>
  </si>
  <si>
    <t>Tartalmilag a mintának megfelelően megjelenítette a meghatározott értékeket</t>
  </si>
  <si>
    <t>A leghosszabb ösvény meghatározása</t>
  </si>
  <si>
    <t>Meghatározta a leghosszabb ösvény mezőinek számát</t>
  </si>
  <si>
    <t>Meghatározta a leghosszabb ösvény sorszámát</t>
  </si>
  <si>
    <t>Beolvasás</t>
  </si>
  <si>
    <t>Beolvasta és eltárolta az ösvény sorszámát</t>
  </si>
  <si>
    <t>A megoldás további részében a tárolás módjának megfelelő módon hivatkozott a beolvasott sorszámnak megfelelő ösvényre</t>
  </si>
  <si>
    <t>Beolvasta és eltárolta a játékosok számát</t>
  </si>
  <si>
    <t>Statisztika készítése</t>
  </si>
  <si>
    <t>Helyesen határozta meg legalább az egyik karakter előfordulásainak számát</t>
  </si>
  <si>
    <t>Helyesen határozta meg az összes előforduló karakter előfordulásainak számát</t>
  </si>
  <si>
    <t>A meghatározott darabszámokat tartalmilag a mintának megfelelően jelenítette meg</t>
  </si>
  <si>
    <t>Azon karaktereket nem jelenítette meg, amelyekből 0 darab van</t>
  </si>
  <si>
    <r>
      <t xml:space="preserve">A </t>
    </r>
    <r>
      <rPr>
        <i/>
        <sz val="11"/>
        <color theme="1"/>
        <rFont val="Courier New"/>
        <family val="3"/>
        <charset val="238"/>
      </rPr>
      <t>kulonleges.txt</t>
    </r>
    <r>
      <rPr>
        <sz val="12"/>
        <color theme="1"/>
        <rFont val="Times New Roman"/>
        <family val="1"/>
        <charset val="238"/>
      </rPr>
      <t xml:space="preserve"> fájl előállítása</t>
    </r>
  </si>
  <si>
    <r>
      <t xml:space="preserve">Létrehozta a </t>
    </r>
    <r>
      <rPr>
        <i/>
        <sz val="11"/>
        <color theme="1"/>
        <rFont val="Courier New"/>
        <family val="3"/>
        <charset val="238"/>
      </rPr>
      <t>kulonleges.txt</t>
    </r>
    <r>
      <rPr>
        <sz val="12"/>
        <color theme="1"/>
        <rFont val="Times New Roman"/>
        <family val="1"/>
        <charset val="238"/>
      </rPr>
      <t xml:space="preserve"> fájlt</t>
    </r>
  </si>
  <si>
    <t>Megvizsgálta az adott ösvény legalább egy mezőjét, hogy különleges típusú-e</t>
  </si>
  <si>
    <t>Az előző vizsgálat alapján beírt a fájlba egy sorszám-mezőtípus párt</t>
  </si>
  <si>
    <t>Legalább az egyik különleges mező összes előfordulását bejegyezte a fájlba</t>
  </si>
  <si>
    <t>Mindkét különleges mező minden előfordulását bejegyezte a fájlba</t>
  </si>
  <si>
    <t>A fájlba írt sorszámokat és karaktereket tabulátor választja el</t>
  </si>
  <si>
    <t>A dobások kezelése a játékosok száma szerint</t>
  </si>
  <si>
    <t>Az első körben helyesen rendelte a dobásokat a játékosokhoz</t>
  </si>
  <si>
    <t>Minden körben helyesen rendelte a dobásokat az egyik játékoshoz</t>
  </si>
  <si>
    <t>Minden körben helyesen rendelte a dobásokat az összes játékoshoz</t>
  </si>
  <si>
    <t>A legtávolabb jutó játékos meghatározása, ha minden mezőt M-nek tekintünk</t>
  </si>
  <si>
    <t>Legalább egy körben helyesen meghatározta, hogy a játékosok meddig jutottak</t>
  </si>
  <si>
    <t>Legalább két körben helyesen meghatározta, hogy a játékosok meddig jutottak</t>
  </si>
  <si>
    <t>Az összes körben helyesen meghatározta, hogy a játékosok meddig jutottak</t>
  </si>
  <si>
    <t>Vizsgálta, hogy van-e olyan játékos, amelyik elérte az ösvény végét</t>
  </si>
  <si>
    <t>Meghatározta a kört, amelyben az összeg elérte az ösvény hosszát</t>
  </si>
  <si>
    <t>Meghatározta a legtávolabb jutó játékosok közül legalább egynek a sorszámát</t>
  </si>
  <si>
    <t>Tartalmilag a mintának megfelelően jelenítette meg a legtávolabb jutó(k) sorszámát és azt, hogy melyik körben fejeződött be a verseny</t>
  </si>
  <si>
    <t>A nyertes meghatározása a mezők típusának figyelembevételével</t>
  </si>
  <si>
    <t>Legalább egy játékos esetében helyesen kezelte az E mezőt az összegzéskor</t>
  </si>
  <si>
    <t>Minden lépés esetén helyesen kezelte az E mezőt az összegzéskor</t>
  </si>
  <si>
    <t>Legalább egy játékos esetében helyesen kezelte a V mezőt az összegzéskor</t>
  </si>
  <si>
    <t>Minden lépés esetén helyesen kezelte a V mezőt az összegzéskor</t>
  </si>
  <si>
    <t>Meghatározta a nyertes játékosokat (azokat, akiknek a lépésszáma elérte vagy meghaladta az ösvény hosszát az utolsó teljes kör végén)</t>
  </si>
  <si>
    <t>Tartalmilag a mintának megfelelően megjelenítette a nyerteseket</t>
  </si>
  <si>
    <t>Tartalmilag a mintának megfelelően megjelenítette, hogy a többi játékos meddig jutott</t>
  </si>
  <si>
    <t>A diák címe 50 pontos, félkövér betűstílusú, és a szöveg 27 pontos</t>
  </si>
  <si>
    <t>Tartalmilag a mintának megfelelően megjelenítette a sorszámát és a hosszát</t>
  </si>
  <si>
    <r>
      <t>Helyesen szűr a „</t>
    </r>
    <r>
      <rPr>
        <b/>
        <i/>
        <sz val="12"/>
        <color theme="1"/>
        <rFont val="Times New Roman"/>
        <family val="1"/>
        <charset val="238"/>
      </rPr>
      <t>programoz</t>
    </r>
    <r>
      <rPr>
        <sz val="12"/>
        <color theme="1"/>
        <rFont val="Times New Roman"/>
        <family val="1"/>
        <charset val="238"/>
      </rPr>
      <t>” vagy a „</t>
    </r>
    <r>
      <rPr>
        <b/>
        <i/>
        <sz val="12"/>
        <color theme="1"/>
        <rFont val="Times New Roman"/>
        <family val="1"/>
        <charset val="238"/>
      </rPr>
      <t>robotika</t>
    </r>
    <r>
      <rPr>
        <sz val="12"/>
        <color theme="1"/>
        <rFont val="Times New Roman"/>
        <family val="1"/>
        <charset val="238"/>
      </rPr>
      <t>” szövegrészlet valamelyikére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</si>
</sst>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ont&quot;"/>
  </numFmts>
  <fonts count="16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6"/>
      <color indexed="8"/>
      <name val="Times New Roman"/>
      <family val="1"/>
      <charset val="238"/>
    </font>
    <font>
      <sz val="11"/>
      <color rgb="FFFF0000"/>
      <name val="Calibri"/>
      <family val="2"/>
      <charset val="238"/>
      <scheme val="minor"/>
    </font>
    <font>
      <i/>
      <sz val="11"/>
      <color theme="1"/>
      <name val="Courier New"/>
      <family val="3"/>
      <charset val="238"/>
    </font>
    <font>
      <i/>
      <sz val="12"/>
      <color theme="1"/>
      <name val="Times New Roman"/>
      <family val="1"/>
      <charset val="238"/>
    </font>
    <font>
      <b/>
      <i/>
      <sz val="12"/>
      <color theme="1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sz val="11"/>
      <color rgb="FF000000"/>
      <name val="Calibri"/>
      <family val="2"/>
      <charset val="238"/>
      <scheme val="minor"/>
    </font>
    <font>
      <b/>
      <sz val="16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1" xfId="0" applyNumberFormat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9" fillId="0" borderId="2" xfId="0" applyFont="1" applyBorder="1" applyAlignment="1">
      <alignment vertical="center" wrapText="1"/>
    </xf>
    <xf numFmtId="164" fontId="1" fillId="0" borderId="0" xfId="0" applyNumberFormat="1" applyFont="1" applyAlignment="1">
      <alignment horizontal="right" wrapText="1"/>
    </xf>
    <xf numFmtId="164" fontId="9" fillId="0" borderId="3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/>
    <xf numFmtId="0" fontId="5" fillId="0" borderId="0" xfId="0" applyFont="1" applyAlignment="1">
      <alignment horizontal="left" vertical="center"/>
    </xf>
    <xf numFmtId="164" fontId="6" fillId="0" borderId="4" xfId="0" applyNumberFormat="1" applyFont="1" applyBorder="1"/>
    <xf numFmtId="164" fontId="6" fillId="2" borderId="4" xfId="0" applyNumberFormat="1" applyFont="1" applyFill="1" applyBorder="1"/>
    <xf numFmtId="0" fontId="14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/>
    <xf numFmtId="0" fontId="12" fillId="0" borderId="5" xfId="0" applyFont="1" applyBorder="1"/>
    <xf numFmtId="164" fontId="0" fillId="0" borderId="5" xfId="0" applyNumberFormat="1" applyBorder="1"/>
    <xf numFmtId="164" fontId="11" fillId="0" borderId="5" xfId="0" applyNumberFormat="1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692758" cy="438150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55BD0595-E226-472B-A712-B4EDD9DDEB61}"/>
            </a:ext>
          </a:extLst>
        </xdr:cNvPr>
        <xdr:cNvSpPr txBox="1"/>
      </xdr:nvSpPr>
      <xdr:spPr>
        <a:xfrm>
          <a:off x="247650" y="0"/>
          <a:ext cx="2692758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36000" bIns="0" rtlCol="0" anchor="ctr" anchorCtr="0">
          <a:noAutofit/>
        </a:bodyPr>
        <a:lstStyle/>
        <a:p>
          <a:pPr algn="l"/>
          <a:r>
            <a:rPr lang="hu-HU" sz="1100"/>
            <a:t>Informatika - emelt szint</a:t>
          </a:r>
        </a:p>
        <a:p>
          <a:pPr algn="l"/>
          <a:r>
            <a:rPr lang="hu-HU" sz="1100"/>
            <a:t>Javítási-értékelési útmutató / értékelőlap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A7"/>
  <sheetViews>
    <sheetView tabSelected="1" zoomScaleNormal="100" workbookViewId="0"/>
  </sheetViews>
  <sheetFormatPr defaultColWidth="9.140625" defaultRowHeight="15.75" x14ac:dyDescent="0.25"/>
  <cols>
    <col min="1" max="1" width="84.7109375" style="5" customWidth="1"/>
    <col min="2" max="16384" width="9.140625" style="4"/>
  </cols>
  <sheetData>
    <row r="1" spans="1:1" x14ac:dyDescent="0.25">
      <c r="A1" s="3" t="s">
        <v>0</v>
      </c>
    </row>
    <row r="3" spans="1:1" ht="33.75" customHeight="1" x14ac:dyDescent="0.25">
      <c r="A3" s="5" t="s">
        <v>1</v>
      </c>
    </row>
    <row r="4" spans="1:1" ht="33.75" customHeight="1" x14ac:dyDescent="0.25">
      <c r="A4" s="5" t="s">
        <v>2</v>
      </c>
    </row>
    <row r="5" spans="1:1" ht="75.75" customHeight="1" x14ac:dyDescent="0.25">
      <c r="A5" s="6" t="s">
        <v>3</v>
      </c>
    </row>
    <row r="6" spans="1:1" ht="82.5" customHeight="1" x14ac:dyDescent="0.25">
      <c r="A6" s="5" t="s">
        <v>4</v>
      </c>
    </row>
    <row r="7" spans="1:1" ht="42.75" customHeight="1" x14ac:dyDescent="0.25">
      <c r="A7" s="1" t="s">
        <v>5</v>
      </c>
    </row>
  </sheetData>
  <sheetProtection sheet="1" objects="1" scenarios="1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15"/>
  <dimension ref="A1:E171"/>
  <sheetViews>
    <sheetView zoomScaleNormal="100" zoomScaleSheetLayoutView="115" workbookViewId="0">
      <selection activeCell="D1" sqref="D1"/>
    </sheetView>
  </sheetViews>
  <sheetFormatPr defaultRowHeight="15" x14ac:dyDescent="0.25"/>
  <cols>
    <col min="1" max="1" width="3.7109375" customWidth="1"/>
    <col min="2" max="2" width="66.7109375" customWidth="1"/>
    <col min="3" max="4" width="10.7109375" customWidth="1"/>
    <col min="5" max="5" width="25.7109375" style="2" customWidth="1"/>
  </cols>
  <sheetData>
    <row r="1" spans="1:4" ht="33.75" customHeight="1" x14ac:dyDescent="0.25">
      <c r="A1" s="15"/>
      <c r="B1" s="16"/>
      <c r="C1" s="17"/>
      <c r="D1" s="7" t="s">
        <v>6</v>
      </c>
    </row>
    <row r="2" spans="1:4" ht="3.75" customHeight="1" x14ac:dyDescent="0.25"/>
    <row r="3" spans="1:4" ht="21" customHeight="1" thickBot="1" x14ac:dyDescent="0.3">
      <c r="A3" s="15"/>
      <c r="B3" s="18" t="s">
        <v>16</v>
      </c>
    </row>
    <row r="4" spans="1:4" ht="16.5" thickBot="1" x14ac:dyDescent="0.3">
      <c r="B4" s="8" t="s">
        <v>9</v>
      </c>
      <c r="C4" s="9"/>
    </row>
    <row r="5" spans="1:4" ht="33" thickBot="1" x14ac:dyDescent="0.3">
      <c r="A5" s="2">
        <v>0</v>
      </c>
      <c r="B5" s="1" t="s">
        <v>17</v>
      </c>
      <c r="C5" s="11">
        <v>1</v>
      </c>
      <c r="D5" s="19">
        <f>C5*A5</f>
        <v>0</v>
      </c>
    </row>
    <row r="6" spans="1:4" ht="16.5" thickBot="1" x14ac:dyDescent="0.3">
      <c r="B6" s="8" t="s">
        <v>10</v>
      </c>
      <c r="C6" s="9"/>
    </row>
    <row r="7" spans="1:4" ht="16.5" thickBot="1" x14ac:dyDescent="0.3">
      <c r="A7" s="2">
        <v>0</v>
      </c>
      <c r="B7" s="1" t="s">
        <v>18</v>
      </c>
      <c r="C7" s="11">
        <v>1</v>
      </c>
      <c r="D7" s="19">
        <f>C7*A7</f>
        <v>0</v>
      </c>
    </row>
    <row r="8" spans="1:4" ht="16.5" thickBot="1" x14ac:dyDescent="0.3">
      <c r="A8" s="2">
        <v>0</v>
      </c>
      <c r="B8" s="1" t="s">
        <v>160</v>
      </c>
      <c r="C8" s="11">
        <v>1</v>
      </c>
      <c r="D8" s="19">
        <f>C8*A8</f>
        <v>0</v>
      </c>
    </row>
    <row r="9" spans="1:4" ht="16.5" thickBot="1" x14ac:dyDescent="0.3">
      <c r="B9" s="8" t="s">
        <v>19</v>
      </c>
      <c r="C9" s="9"/>
    </row>
    <row r="10" spans="1:4" ht="32.25" thickBot="1" x14ac:dyDescent="0.3">
      <c r="A10" s="2">
        <v>0</v>
      </c>
      <c r="B10" s="1" t="s">
        <v>20</v>
      </c>
      <c r="C10" s="11">
        <v>1</v>
      </c>
      <c r="D10" s="19">
        <f>C10*A10</f>
        <v>0</v>
      </c>
    </row>
    <row r="11" spans="1:4" ht="32.25" thickBot="1" x14ac:dyDescent="0.3">
      <c r="A11" s="2">
        <v>0</v>
      </c>
      <c r="B11" s="1" t="s">
        <v>21</v>
      </c>
      <c r="C11" s="11">
        <v>1</v>
      </c>
      <c r="D11" s="19">
        <f>C11*A11</f>
        <v>0</v>
      </c>
    </row>
    <row r="12" spans="1:4" ht="48" thickBot="1" x14ac:dyDescent="0.3">
      <c r="A12" s="2">
        <v>0</v>
      </c>
      <c r="B12" s="1" t="s">
        <v>22</v>
      </c>
      <c r="C12" s="11">
        <v>1</v>
      </c>
      <c r="D12" s="19">
        <f>C12*A12</f>
        <v>0</v>
      </c>
    </row>
    <row r="13" spans="1:4" ht="16.5" thickBot="1" x14ac:dyDescent="0.3">
      <c r="B13" s="8" t="s">
        <v>23</v>
      </c>
      <c r="C13" s="9"/>
    </row>
    <row r="14" spans="1:4" ht="32.25" thickBot="1" x14ac:dyDescent="0.3">
      <c r="A14" s="2">
        <v>0</v>
      </c>
      <c r="B14" s="1" t="s">
        <v>24</v>
      </c>
      <c r="C14" s="11">
        <v>1</v>
      </c>
      <c r="D14" s="19">
        <f>C14*A14</f>
        <v>0</v>
      </c>
    </row>
    <row r="15" spans="1:4" ht="48" thickBot="1" x14ac:dyDescent="0.3">
      <c r="A15" s="2">
        <v>0</v>
      </c>
      <c r="B15" s="1" t="s">
        <v>25</v>
      </c>
      <c r="C15" s="11">
        <v>1</v>
      </c>
      <c r="D15" s="19">
        <f>C15*A15</f>
        <v>0</v>
      </c>
    </row>
    <row r="16" spans="1:4" ht="16.5" thickBot="1" x14ac:dyDescent="0.3">
      <c r="B16" s="8" t="s">
        <v>26</v>
      </c>
      <c r="C16" s="9"/>
    </row>
    <row r="17" spans="1:4" ht="32.25" thickBot="1" x14ac:dyDescent="0.3">
      <c r="A17" s="2">
        <v>0</v>
      </c>
      <c r="B17" s="1" t="s">
        <v>27</v>
      </c>
      <c r="C17" s="11">
        <v>1</v>
      </c>
      <c r="D17" s="19">
        <f>C17*A17</f>
        <v>0</v>
      </c>
    </row>
    <row r="18" spans="1:4" ht="32.25" thickBot="1" x14ac:dyDescent="0.3">
      <c r="A18" s="2">
        <v>0</v>
      </c>
      <c r="B18" s="1" t="s">
        <v>28</v>
      </c>
      <c r="C18" s="11">
        <v>1</v>
      </c>
      <c r="D18" s="19">
        <f>C18*A18</f>
        <v>0</v>
      </c>
    </row>
    <row r="19" spans="1:4" ht="16.5" thickBot="1" x14ac:dyDescent="0.3">
      <c r="A19" s="2">
        <v>0</v>
      </c>
      <c r="B19" s="1" t="s">
        <v>29</v>
      </c>
      <c r="C19" s="11">
        <v>1</v>
      </c>
      <c r="D19" s="19">
        <f>C19*A19</f>
        <v>0</v>
      </c>
    </row>
    <row r="20" spans="1:4" ht="16.5" thickBot="1" x14ac:dyDescent="0.3">
      <c r="B20" s="8" t="s">
        <v>30</v>
      </c>
      <c r="C20" s="9"/>
    </row>
    <row r="21" spans="1:4" ht="32.25" thickBot="1" x14ac:dyDescent="0.3">
      <c r="A21" s="2">
        <v>0</v>
      </c>
      <c r="B21" s="1" t="s">
        <v>31</v>
      </c>
      <c r="C21" s="11">
        <v>1</v>
      </c>
      <c r="D21" s="19">
        <f t="shared" ref="D21:D26" si="0">C21*A21</f>
        <v>0</v>
      </c>
    </row>
    <row r="22" spans="1:4" ht="32.25" thickBot="1" x14ac:dyDescent="0.3">
      <c r="A22" s="2">
        <v>0</v>
      </c>
      <c r="B22" s="1" t="s">
        <v>32</v>
      </c>
      <c r="C22" s="11">
        <v>1</v>
      </c>
      <c r="D22" s="19">
        <f t="shared" si="0"/>
        <v>0</v>
      </c>
    </row>
    <row r="23" spans="1:4" ht="32.25" thickBot="1" x14ac:dyDescent="0.3">
      <c r="A23" s="2">
        <v>0</v>
      </c>
      <c r="B23" s="1" t="s">
        <v>33</v>
      </c>
      <c r="C23" s="11">
        <v>1</v>
      </c>
      <c r="D23" s="19">
        <f t="shared" si="0"/>
        <v>0</v>
      </c>
    </row>
    <row r="24" spans="1:4" ht="48" thickBot="1" x14ac:dyDescent="0.3">
      <c r="A24" s="2">
        <v>0</v>
      </c>
      <c r="B24" s="1" t="s">
        <v>34</v>
      </c>
      <c r="C24" s="11">
        <v>1</v>
      </c>
      <c r="D24" s="19">
        <f t="shared" si="0"/>
        <v>0</v>
      </c>
    </row>
    <row r="25" spans="1:4" ht="32.25" thickBot="1" x14ac:dyDescent="0.3">
      <c r="A25" s="2">
        <v>0</v>
      </c>
      <c r="B25" s="1" t="s">
        <v>35</v>
      </c>
      <c r="C25" s="11">
        <v>1</v>
      </c>
      <c r="D25" s="19">
        <f t="shared" si="0"/>
        <v>0</v>
      </c>
    </row>
    <row r="26" spans="1:4" ht="32.25" thickBot="1" x14ac:dyDescent="0.3">
      <c r="A26" s="2">
        <v>0</v>
      </c>
      <c r="B26" s="1" t="s">
        <v>36</v>
      </c>
      <c r="C26" s="11">
        <v>1</v>
      </c>
      <c r="D26" s="19">
        <f t="shared" si="0"/>
        <v>0</v>
      </c>
    </row>
    <row r="27" spans="1:4" ht="16.5" thickBot="1" x14ac:dyDescent="0.3">
      <c r="B27" s="8" t="s">
        <v>37</v>
      </c>
      <c r="C27" s="9"/>
    </row>
    <row r="28" spans="1:4" ht="16.5" thickBot="1" x14ac:dyDescent="0.3">
      <c r="A28" s="2">
        <v>0</v>
      </c>
      <c r="B28" s="1" t="s">
        <v>38</v>
      </c>
      <c r="C28" s="11">
        <v>1</v>
      </c>
      <c r="D28" s="19">
        <f t="shared" ref="D28:D37" si="1">C28*A28</f>
        <v>0</v>
      </c>
    </row>
    <row r="29" spans="1:4" ht="32.25" thickBot="1" x14ac:dyDescent="0.3">
      <c r="A29" s="2">
        <v>0</v>
      </c>
      <c r="B29" s="1" t="s">
        <v>39</v>
      </c>
      <c r="C29" s="11">
        <v>1</v>
      </c>
      <c r="D29" s="19">
        <f t="shared" si="1"/>
        <v>0</v>
      </c>
    </row>
    <row r="30" spans="1:4" ht="32.25" thickBot="1" x14ac:dyDescent="0.3">
      <c r="A30" s="2">
        <v>0</v>
      </c>
      <c r="B30" s="1" t="s">
        <v>40</v>
      </c>
      <c r="C30" s="11">
        <v>1</v>
      </c>
      <c r="D30" s="19">
        <f t="shared" si="1"/>
        <v>0</v>
      </c>
    </row>
    <row r="31" spans="1:4" ht="16.5" thickBot="1" x14ac:dyDescent="0.3">
      <c r="A31" s="2">
        <v>0</v>
      </c>
      <c r="B31" s="1" t="s">
        <v>29</v>
      </c>
      <c r="C31" s="11">
        <v>1</v>
      </c>
      <c r="D31" s="19">
        <f t="shared" si="1"/>
        <v>0</v>
      </c>
    </row>
    <row r="32" spans="1:4" ht="48" thickBot="1" x14ac:dyDescent="0.3">
      <c r="A32" s="2">
        <v>0</v>
      </c>
      <c r="B32" s="1" t="s">
        <v>41</v>
      </c>
      <c r="C32" s="11">
        <v>1</v>
      </c>
      <c r="D32" s="19">
        <f t="shared" si="1"/>
        <v>0</v>
      </c>
    </row>
    <row r="33" spans="1:4" ht="32.25" thickBot="1" x14ac:dyDescent="0.3">
      <c r="A33" s="2">
        <v>0</v>
      </c>
      <c r="B33" s="1" t="s">
        <v>42</v>
      </c>
      <c r="C33" s="11">
        <v>1</v>
      </c>
      <c r="D33" s="19">
        <f t="shared" si="1"/>
        <v>0</v>
      </c>
    </row>
    <row r="34" spans="1:4" ht="48" thickBot="1" x14ac:dyDescent="0.3">
      <c r="A34" s="2">
        <v>0</v>
      </c>
      <c r="B34" s="1" t="s">
        <v>43</v>
      </c>
      <c r="C34" s="11">
        <v>1</v>
      </c>
      <c r="D34" s="19">
        <f t="shared" si="1"/>
        <v>0</v>
      </c>
    </row>
    <row r="35" spans="1:4" ht="32.25" thickBot="1" x14ac:dyDescent="0.3">
      <c r="A35" s="2">
        <v>0</v>
      </c>
      <c r="B35" s="1" t="s">
        <v>44</v>
      </c>
      <c r="C35" s="11">
        <v>1</v>
      </c>
      <c r="D35" s="19">
        <f t="shared" si="1"/>
        <v>0</v>
      </c>
    </row>
    <row r="36" spans="1:4" ht="48" thickBot="1" x14ac:dyDescent="0.3">
      <c r="A36" s="2">
        <v>0</v>
      </c>
      <c r="B36" s="1" t="s">
        <v>45</v>
      </c>
      <c r="C36" s="11">
        <v>1</v>
      </c>
      <c r="D36" s="19">
        <f t="shared" si="1"/>
        <v>0</v>
      </c>
    </row>
    <row r="37" spans="1:4" ht="48" thickBot="1" x14ac:dyDescent="0.3">
      <c r="A37" s="2">
        <v>0</v>
      </c>
      <c r="B37" s="1" t="s">
        <v>46</v>
      </c>
      <c r="C37" s="11">
        <v>1</v>
      </c>
      <c r="D37" s="19">
        <f t="shared" si="1"/>
        <v>0</v>
      </c>
    </row>
    <row r="38" spans="1:4" ht="16.5" thickBot="1" x14ac:dyDescent="0.3">
      <c r="B38" s="8" t="s">
        <v>47</v>
      </c>
      <c r="C38" s="9"/>
    </row>
    <row r="39" spans="1:4" ht="32.25" thickBot="1" x14ac:dyDescent="0.3">
      <c r="A39" s="2">
        <v>0</v>
      </c>
      <c r="B39" s="1" t="s">
        <v>48</v>
      </c>
      <c r="C39" s="11">
        <v>1</v>
      </c>
      <c r="D39" s="19">
        <f>C39*A39</f>
        <v>0</v>
      </c>
    </row>
    <row r="40" spans="1:4" ht="32.25" thickBot="1" x14ac:dyDescent="0.3">
      <c r="A40" s="2">
        <v>0</v>
      </c>
      <c r="B40" s="1" t="s">
        <v>49</v>
      </c>
      <c r="C40" s="11">
        <v>1</v>
      </c>
      <c r="D40" s="19">
        <f>C40*A40</f>
        <v>0</v>
      </c>
    </row>
    <row r="41" spans="1:4" ht="32.25" thickBot="1" x14ac:dyDescent="0.3">
      <c r="A41" s="2">
        <v>0</v>
      </c>
      <c r="B41" s="1" t="s">
        <v>50</v>
      </c>
      <c r="C41" s="11">
        <v>1</v>
      </c>
      <c r="D41" s="19">
        <f>C41*A41</f>
        <v>0</v>
      </c>
    </row>
    <row r="42" spans="1:4" ht="16.5" thickBot="1" x14ac:dyDescent="0.3">
      <c r="B42" s="10" t="s">
        <v>7</v>
      </c>
      <c r="C42" s="12">
        <f>SUM(C5:C41)</f>
        <v>30</v>
      </c>
      <c r="D42" s="20">
        <f>SUM(D5:D41)</f>
        <v>0</v>
      </c>
    </row>
    <row r="44" spans="1:4" ht="21" customHeight="1" thickBot="1" x14ac:dyDescent="0.3">
      <c r="A44" s="15"/>
      <c r="B44" s="18" t="s">
        <v>51</v>
      </c>
    </row>
    <row r="45" spans="1:4" ht="16.5" thickBot="1" x14ac:dyDescent="0.3">
      <c r="B45" s="8" t="s">
        <v>52</v>
      </c>
      <c r="C45" s="9"/>
    </row>
    <row r="46" spans="1:4" ht="49.5" thickBot="1" x14ac:dyDescent="0.3">
      <c r="A46" s="2">
        <v>0</v>
      </c>
      <c r="B46" s="1" t="s">
        <v>53</v>
      </c>
      <c r="C46" s="11">
        <v>1</v>
      </c>
      <c r="D46" s="19">
        <f>C46*A46</f>
        <v>0</v>
      </c>
    </row>
    <row r="47" spans="1:4" ht="16.5" thickBot="1" x14ac:dyDescent="0.3">
      <c r="B47" s="8" t="s">
        <v>54</v>
      </c>
      <c r="C47" s="9"/>
    </row>
    <row r="48" spans="1:4" ht="63.75" thickBot="1" x14ac:dyDescent="0.3">
      <c r="A48" s="2">
        <v>0</v>
      </c>
      <c r="B48" s="1" t="s">
        <v>55</v>
      </c>
      <c r="C48" s="11">
        <v>1</v>
      </c>
      <c r="D48" s="19">
        <f>C48*A48</f>
        <v>0</v>
      </c>
    </row>
    <row r="49" spans="1:4" ht="16.5" thickBot="1" x14ac:dyDescent="0.3">
      <c r="B49" s="8" t="s">
        <v>56</v>
      </c>
      <c r="C49" s="9"/>
    </row>
    <row r="50" spans="1:4" ht="32.25" thickBot="1" x14ac:dyDescent="0.3">
      <c r="A50" s="2">
        <v>0</v>
      </c>
      <c r="B50" s="1" t="s">
        <v>57</v>
      </c>
      <c r="C50" s="11">
        <v>1</v>
      </c>
      <c r="D50" s="19">
        <f>C50*A50</f>
        <v>0</v>
      </c>
    </row>
    <row r="51" spans="1:4" ht="16.5" thickBot="1" x14ac:dyDescent="0.3">
      <c r="A51" s="2">
        <v>0</v>
      </c>
      <c r="B51" s="1" t="s">
        <v>58</v>
      </c>
      <c r="C51" s="11">
        <v>1</v>
      </c>
      <c r="D51" s="19">
        <f>C51*A51</f>
        <v>0</v>
      </c>
    </row>
    <row r="52" spans="1:4" ht="16.5" thickBot="1" x14ac:dyDescent="0.3">
      <c r="A52" s="2">
        <v>0</v>
      </c>
      <c r="B52" s="1" t="s">
        <v>59</v>
      </c>
      <c r="C52" s="11">
        <v>1</v>
      </c>
      <c r="D52" s="19">
        <f>C52*A52</f>
        <v>0</v>
      </c>
    </row>
    <row r="53" spans="1:4" ht="16.5" thickBot="1" x14ac:dyDescent="0.3">
      <c r="B53" s="8" t="s">
        <v>60</v>
      </c>
      <c r="C53" s="9"/>
    </row>
    <row r="54" spans="1:4" ht="16.5" thickBot="1" x14ac:dyDescent="0.3">
      <c r="A54" s="2">
        <v>0</v>
      </c>
      <c r="B54" s="1" t="s">
        <v>61</v>
      </c>
      <c r="C54" s="11">
        <v>1</v>
      </c>
      <c r="D54" s="19">
        <f>C54*A54</f>
        <v>0</v>
      </c>
    </row>
    <row r="55" spans="1:4" ht="32.25" thickBot="1" x14ac:dyDescent="0.3">
      <c r="A55" s="2">
        <v>0</v>
      </c>
      <c r="B55" s="1" t="s">
        <v>62</v>
      </c>
      <c r="C55" s="11">
        <v>1</v>
      </c>
      <c r="D55" s="19">
        <f>C55*A55</f>
        <v>0</v>
      </c>
    </row>
    <row r="56" spans="1:4" ht="16.5" thickBot="1" x14ac:dyDescent="0.3">
      <c r="B56" s="8" t="s">
        <v>63</v>
      </c>
      <c r="C56" s="9"/>
    </row>
    <row r="57" spans="1:4" ht="16.5" thickBot="1" x14ac:dyDescent="0.3">
      <c r="A57" s="2">
        <v>0</v>
      </c>
      <c r="B57" s="1" t="s">
        <v>64</v>
      </c>
      <c r="C57" s="11">
        <v>1</v>
      </c>
      <c r="D57" s="19">
        <f>C57*A57</f>
        <v>0</v>
      </c>
    </row>
    <row r="58" spans="1:4" ht="16.5" thickBot="1" x14ac:dyDescent="0.3">
      <c r="A58" s="2">
        <v>0</v>
      </c>
      <c r="B58" s="1" t="s">
        <v>65</v>
      </c>
      <c r="C58" s="11">
        <v>1</v>
      </c>
      <c r="D58" s="19">
        <f>C58*A58</f>
        <v>0</v>
      </c>
    </row>
    <row r="59" spans="1:4" ht="16.5" thickBot="1" x14ac:dyDescent="0.3">
      <c r="B59" s="8" t="s">
        <v>66</v>
      </c>
      <c r="C59" s="9"/>
    </row>
    <row r="60" spans="1:4" ht="32.25" thickBot="1" x14ac:dyDescent="0.3">
      <c r="A60" s="2">
        <v>0</v>
      </c>
      <c r="B60" s="1" t="s">
        <v>67</v>
      </c>
      <c r="C60" s="11">
        <v>1</v>
      </c>
      <c r="D60" s="19">
        <f>C60*A60</f>
        <v>0</v>
      </c>
    </row>
    <row r="61" spans="1:4" ht="32.25" thickBot="1" x14ac:dyDescent="0.3">
      <c r="A61" s="2">
        <v>0</v>
      </c>
      <c r="B61" s="1" t="s">
        <v>68</v>
      </c>
      <c r="C61" s="11">
        <v>2</v>
      </c>
      <c r="D61" s="19">
        <f>C61*A61</f>
        <v>0</v>
      </c>
    </row>
    <row r="62" spans="1:4" ht="16.5" thickBot="1" x14ac:dyDescent="0.3">
      <c r="B62" s="8" t="s">
        <v>11</v>
      </c>
      <c r="C62" s="9"/>
    </row>
    <row r="63" spans="1:4" ht="16.5" thickBot="1" x14ac:dyDescent="0.3">
      <c r="A63" s="2">
        <v>0</v>
      </c>
      <c r="B63" s="1" t="s">
        <v>69</v>
      </c>
      <c r="C63" s="11">
        <v>1</v>
      </c>
      <c r="D63" s="19">
        <f>C63*A63</f>
        <v>0</v>
      </c>
    </row>
    <row r="64" spans="1:4" ht="32.25" thickBot="1" x14ac:dyDescent="0.3">
      <c r="A64" s="2">
        <v>0</v>
      </c>
      <c r="B64" s="1" t="s">
        <v>70</v>
      </c>
      <c r="C64" s="11">
        <v>1</v>
      </c>
      <c r="D64" s="19">
        <f>C64*A64</f>
        <v>0</v>
      </c>
    </row>
    <row r="65" spans="1:5" ht="48" thickBot="1" x14ac:dyDescent="0.3">
      <c r="A65" s="2">
        <v>0</v>
      </c>
      <c r="B65" s="1" t="s">
        <v>71</v>
      </c>
      <c r="C65" s="11">
        <v>1</v>
      </c>
      <c r="D65" s="19">
        <f>C65*A65</f>
        <v>0</v>
      </c>
    </row>
    <row r="66" spans="1:5" ht="16.5" thickBot="1" x14ac:dyDescent="0.3">
      <c r="B66" s="10" t="s">
        <v>7</v>
      </c>
      <c r="C66" s="12">
        <f>SUM(C46:C65)</f>
        <v>15</v>
      </c>
      <c r="D66" s="20">
        <f>SUM(D46:D65)</f>
        <v>0</v>
      </c>
    </row>
    <row r="68" spans="1:5" ht="21" thickBot="1" x14ac:dyDescent="0.3">
      <c r="A68" s="22"/>
      <c r="B68" s="23" t="s">
        <v>72</v>
      </c>
      <c r="C68" s="24"/>
      <c r="D68" s="24"/>
      <c r="E68" s="21"/>
    </row>
    <row r="69" spans="1:5" ht="16.5" thickBot="1" x14ac:dyDescent="0.3">
      <c r="B69" s="8" t="s">
        <v>12</v>
      </c>
      <c r="C69" s="9"/>
    </row>
    <row r="70" spans="1:5" ht="33" thickBot="1" x14ac:dyDescent="0.3">
      <c r="A70" s="2">
        <v>0</v>
      </c>
      <c r="B70" s="1" t="s">
        <v>73</v>
      </c>
      <c r="C70" s="11">
        <v>1</v>
      </c>
      <c r="D70" s="19">
        <f>C70*A70</f>
        <v>0</v>
      </c>
    </row>
    <row r="71" spans="1:5" ht="16.5" thickBot="1" x14ac:dyDescent="0.3">
      <c r="B71" s="8" t="s">
        <v>13</v>
      </c>
      <c r="C71" s="9"/>
    </row>
    <row r="72" spans="1:5" ht="32.25" thickBot="1" x14ac:dyDescent="0.3">
      <c r="A72" s="2">
        <v>0</v>
      </c>
      <c r="B72" s="1" t="s">
        <v>74</v>
      </c>
      <c r="C72" s="11">
        <v>1</v>
      </c>
      <c r="D72" s="19">
        <f>C72*A72</f>
        <v>0</v>
      </c>
    </row>
    <row r="73" spans="1:5" ht="16.5" thickBot="1" x14ac:dyDescent="0.3">
      <c r="B73" s="10" t="s">
        <v>75</v>
      </c>
      <c r="C73" s="9"/>
    </row>
    <row r="74" spans="1:5" ht="32.25" thickBot="1" x14ac:dyDescent="0.3">
      <c r="A74" s="2">
        <v>0</v>
      </c>
      <c r="B74" s="1" t="s">
        <v>76</v>
      </c>
      <c r="C74" s="11">
        <v>1</v>
      </c>
      <c r="D74" s="19">
        <f>C74*A74</f>
        <v>0</v>
      </c>
    </row>
    <row r="75" spans="1:5" ht="16.5" thickBot="1" x14ac:dyDescent="0.3">
      <c r="A75" s="2">
        <v>0</v>
      </c>
      <c r="B75" s="1" t="s">
        <v>77</v>
      </c>
      <c r="C75" s="11">
        <v>1</v>
      </c>
      <c r="D75" s="19">
        <f>C75*A75</f>
        <v>0</v>
      </c>
    </row>
    <row r="76" spans="1:5" ht="16.5" thickBot="1" x14ac:dyDescent="0.3">
      <c r="B76" s="10" t="s">
        <v>78</v>
      </c>
      <c r="C76" s="9"/>
    </row>
    <row r="77" spans="1:5" ht="16.5" thickBot="1" x14ac:dyDescent="0.3">
      <c r="A77" s="2">
        <v>0</v>
      </c>
      <c r="B77" s="1" t="s">
        <v>79</v>
      </c>
      <c r="C77" s="11">
        <v>1</v>
      </c>
      <c r="D77" s="19">
        <f>C77*A77</f>
        <v>0</v>
      </c>
    </row>
    <row r="78" spans="1:5" ht="32.25" thickBot="1" x14ac:dyDescent="0.3">
      <c r="A78" s="2">
        <v>0</v>
      </c>
      <c r="B78" s="1" t="s">
        <v>162</v>
      </c>
      <c r="C78" s="11">
        <v>1</v>
      </c>
      <c r="D78" s="19">
        <f>C78*A78</f>
        <v>0</v>
      </c>
    </row>
    <row r="79" spans="1:5" ht="16.5" thickBot="1" x14ac:dyDescent="0.3">
      <c r="A79" s="2">
        <v>0</v>
      </c>
      <c r="B79" s="1" t="s">
        <v>80</v>
      </c>
      <c r="C79" s="11">
        <v>1</v>
      </c>
      <c r="D79" s="19">
        <f>C79*A79</f>
        <v>0</v>
      </c>
    </row>
    <row r="80" spans="1:5" ht="16.5" thickBot="1" x14ac:dyDescent="0.3">
      <c r="B80" s="10" t="s">
        <v>81</v>
      </c>
      <c r="C80" s="9"/>
    </row>
    <row r="81" spans="1:4" ht="32.25" thickBot="1" x14ac:dyDescent="0.3">
      <c r="A81" s="2">
        <v>0</v>
      </c>
      <c r="B81" s="1" t="s">
        <v>82</v>
      </c>
      <c r="C81" s="11">
        <v>1</v>
      </c>
      <c r="D81" s="19">
        <f>C81*A81</f>
        <v>0</v>
      </c>
    </row>
    <row r="82" spans="1:4" ht="16.5" thickBot="1" x14ac:dyDescent="0.3">
      <c r="A82" s="2">
        <v>0</v>
      </c>
      <c r="B82" s="1" t="s">
        <v>83</v>
      </c>
      <c r="C82" s="11">
        <v>1</v>
      </c>
      <c r="D82" s="19">
        <f>C82*A82</f>
        <v>0</v>
      </c>
    </row>
    <row r="83" spans="1:4" ht="32.25" thickBot="1" x14ac:dyDescent="0.3">
      <c r="A83" s="2">
        <v>0</v>
      </c>
      <c r="B83" s="1" t="s">
        <v>84</v>
      </c>
      <c r="C83" s="11">
        <v>1</v>
      </c>
      <c r="D83" s="19">
        <f>C83*A83</f>
        <v>0</v>
      </c>
    </row>
    <row r="84" spans="1:4" ht="16.5" thickBot="1" x14ac:dyDescent="0.3">
      <c r="B84" s="10" t="s">
        <v>85</v>
      </c>
      <c r="C84" s="9"/>
    </row>
    <row r="85" spans="1:4" ht="32.25" thickBot="1" x14ac:dyDescent="0.3">
      <c r="A85" s="2">
        <v>0</v>
      </c>
      <c r="B85" s="1" t="s">
        <v>86</v>
      </c>
      <c r="C85" s="11">
        <v>1</v>
      </c>
      <c r="D85" s="19">
        <f>C85*A85</f>
        <v>0</v>
      </c>
    </row>
    <row r="86" spans="1:4" ht="16.5" thickBot="1" x14ac:dyDescent="0.3">
      <c r="A86" s="2">
        <v>0</v>
      </c>
      <c r="B86" s="1" t="s">
        <v>87</v>
      </c>
      <c r="C86" s="11">
        <v>1</v>
      </c>
      <c r="D86" s="19">
        <f>C86*A86</f>
        <v>0</v>
      </c>
    </row>
    <row r="87" spans="1:4" ht="16.5" thickBot="1" x14ac:dyDescent="0.3">
      <c r="A87" s="2">
        <v>0</v>
      </c>
      <c r="B87" s="1" t="s">
        <v>88</v>
      </c>
      <c r="C87" s="11">
        <v>1</v>
      </c>
      <c r="D87" s="19">
        <f>C87*A87</f>
        <v>0</v>
      </c>
    </row>
    <row r="88" spans="1:4" ht="16.5" thickBot="1" x14ac:dyDescent="0.3">
      <c r="B88" s="10" t="s">
        <v>89</v>
      </c>
      <c r="C88" s="9"/>
    </row>
    <row r="89" spans="1:4" ht="32.25" thickBot="1" x14ac:dyDescent="0.3">
      <c r="A89" s="2">
        <v>0</v>
      </c>
      <c r="B89" s="1" t="s">
        <v>90</v>
      </c>
      <c r="C89" s="11">
        <v>1</v>
      </c>
      <c r="D89" s="19">
        <f>C89*A89</f>
        <v>0</v>
      </c>
    </row>
    <row r="90" spans="1:4" ht="32.25" thickBot="1" x14ac:dyDescent="0.3">
      <c r="A90" s="2">
        <v>0</v>
      </c>
      <c r="B90" s="1" t="s">
        <v>91</v>
      </c>
      <c r="C90" s="11">
        <v>1</v>
      </c>
      <c r="D90" s="19">
        <f>C90*A90</f>
        <v>0</v>
      </c>
    </row>
    <row r="91" spans="1:4" ht="32.25" thickBot="1" x14ac:dyDescent="0.3">
      <c r="A91" s="2">
        <v>0</v>
      </c>
      <c r="B91" s="1" t="s">
        <v>92</v>
      </c>
      <c r="C91" s="11">
        <v>1</v>
      </c>
      <c r="D91" s="19">
        <f>C91*A91</f>
        <v>0</v>
      </c>
    </row>
    <row r="92" spans="1:4" ht="16.5" thickBot="1" x14ac:dyDescent="0.3">
      <c r="A92" s="2">
        <v>0</v>
      </c>
      <c r="B92" s="1" t="s">
        <v>93</v>
      </c>
      <c r="C92" s="11">
        <v>1</v>
      </c>
      <c r="D92" s="19">
        <f>C92*A92</f>
        <v>0</v>
      </c>
    </row>
    <row r="93" spans="1:4" ht="16.5" thickBot="1" x14ac:dyDescent="0.3">
      <c r="B93" s="10" t="s">
        <v>94</v>
      </c>
      <c r="C93" s="9"/>
    </row>
    <row r="94" spans="1:4" ht="32.25" thickBot="1" x14ac:dyDescent="0.3">
      <c r="A94" s="2">
        <v>0</v>
      </c>
      <c r="B94" s="1" t="s">
        <v>95</v>
      </c>
      <c r="C94" s="11">
        <v>1</v>
      </c>
      <c r="D94" s="19">
        <f>C94*A94</f>
        <v>0</v>
      </c>
    </row>
    <row r="95" spans="1:4" ht="32.25" thickBot="1" x14ac:dyDescent="0.3">
      <c r="A95" s="2">
        <v>0</v>
      </c>
      <c r="B95" s="1" t="s">
        <v>96</v>
      </c>
      <c r="C95" s="11">
        <v>1</v>
      </c>
      <c r="D95" s="19">
        <f>C95*A95</f>
        <v>0</v>
      </c>
    </row>
    <row r="96" spans="1:4" ht="32.25" thickBot="1" x14ac:dyDescent="0.3">
      <c r="A96" s="2">
        <v>0</v>
      </c>
      <c r="B96" s="1" t="s">
        <v>97</v>
      </c>
      <c r="C96" s="11">
        <v>1</v>
      </c>
      <c r="D96" s="19">
        <f>C96*A96</f>
        <v>0</v>
      </c>
    </row>
    <row r="97" spans="1:5" ht="32.25" thickBot="1" x14ac:dyDescent="0.3">
      <c r="A97" s="2">
        <v>0</v>
      </c>
      <c r="B97" s="1" t="s">
        <v>98</v>
      </c>
      <c r="C97" s="11">
        <v>1</v>
      </c>
      <c r="D97" s="19">
        <f>C97*A97</f>
        <v>0</v>
      </c>
    </row>
    <row r="98" spans="1:5" ht="16.5" thickBot="1" x14ac:dyDescent="0.3">
      <c r="B98" s="10" t="s">
        <v>99</v>
      </c>
      <c r="C98" s="9"/>
    </row>
    <row r="99" spans="1:5" ht="32.25" thickBot="1" x14ac:dyDescent="0.3">
      <c r="A99" s="2">
        <v>0</v>
      </c>
      <c r="B99" s="1" t="s">
        <v>100</v>
      </c>
      <c r="C99" s="11">
        <v>1</v>
      </c>
      <c r="D99" s="19">
        <f>C99*A99</f>
        <v>0</v>
      </c>
    </row>
    <row r="100" spans="1:5" ht="32.25" thickBot="1" x14ac:dyDescent="0.3">
      <c r="A100" s="2">
        <v>0</v>
      </c>
      <c r="B100" s="1" t="s">
        <v>101</v>
      </c>
      <c r="C100" s="11">
        <v>1</v>
      </c>
      <c r="D100" s="19">
        <f>C100*A100</f>
        <v>0</v>
      </c>
    </row>
    <row r="101" spans="1:5" ht="16.5" thickBot="1" x14ac:dyDescent="0.3">
      <c r="A101" s="2">
        <v>0</v>
      </c>
      <c r="B101" s="1" t="s">
        <v>102</v>
      </c>
      <c r="C101" s="11">
        <v>1</v>
      </c>
      <c r="D101" s="19">
        <f>C101*A101</f>
        <v>0</v>
      </c>
    </row>
    <row r="102" spans="1:5" ht="16.5" thickBot="1" x14ac:dyDescent="0.3">
      <c r="A102" s="2">
        <v>0</v>
      </c>
      <c r="B102" s="1" t="s">
        <v>103</v>
      </c>
      <c r="C102" s="11">
        <v>1</v>
      </c>
      <c r="D102" s="19">
        <f>C102*A102</f>
        <v>0</v>
      </c>
    </row>
    <row r="103" spans="1:5" ht="32.25" thickBot="1" x14ac:dyDescent="0.3">
      <c r="A103" s="2">
        <v>0</v>
      </c>
      <c r="B103" s="1" t="s">
        <v>14</v>
      </c>
      <c r="C103" s="11">
        <v>1</v>
      </c>
      <c r="D103" s="19">
        <f>C103*A103</f>
        <v>0</v>
      </c>
    </row>
    <row r="104" spans="1:5" ht="16.5" thickBot="1" x14ac:dyDescent="0.3">
      <c r="B104" s="10" t="s">
        <v>104</v>
      </c>
      <c r="C104" s="9"/>
    </row>
    <row r="105" spans="1:5" ht="32.25" thickBot="1" x14ac:dyDescent="0.3">
      <c r="A105" s="2">
        <v>0</v>
      </c>
      <c r="B105" s="1" t="s">
        <v>105</v>
      </c>
      <c r="C105" s="11">
        <v>1</v>
      </c>
      <c r="D105" s="19">
        <f>C105*A105</f>
        <v>0</v>
      </c>
    </row>
    <row r="106" spans="1:5" ht="32.25" thickBot="1" x14ac:dyDescent="0.3">
      <c r="A106" s="2">
        <v>0</v>
      </c>
      <c r="B106" s="1" t="s">
        <v>106</v>
      </c>
      <c r="C106" s="11">
        <v>1</v>
      </c>
      <c r="D106" s="19">
        <f>C106*A106</f>
        <v>0</v>
      </c>
    </row>
    <row r="107" spans="1:5" ht="32.25" thickBot="1" x14ac:dyDescent="0.3">
      <c r="A107" s="2">
        <v>0</v>
      </c>
      <c r="B107" s="1" t="s">
        <v>107</v>
      </c>
      <c r="C107" s="11">
        <v>1</v>
      </c>
      <c r="D107" s="19">
        <f>C107*A107</f>
        <v>0</v>
      </c>
    </row>
    <row r="108" spans="1:5" ht="48" thickBot="1" x14ac:dyDescent="0.3">
      <c r="A108" s="2">
        <v>0</v>
      </c>
      <c r="B108" s="1" t="s">
        <v>108</v>
      </c>
      <c r="C108" s="11">
        <v>1</v>
      </c>
      <c r="D108" s="19">
        <f>C108*A108</f>
        <v>0</v>
      </c>
    </row>
    <row r="109" spans="1:5" ht="16.5" thickBot="1" x14ac:dyDescent="0.3">
      <c r="B109" s="10" t="s">
        <v>7</v>
      </c>
      <c r="C109" s="12">
        <f>SUM(C70:C108)</f>
        <v>30</v>
      </c>
      <c r="D109" s="20">
        <f>SUM(D70:D108)</f>
        <v>0</v>
      </c>
    </row>
    <row r="111" spans="1:5" ht="21" thickBot="1" x14ac:dyDescent="0.3">
      <c r="A111" s="22"/>
      <c r="B111" s="23" t="s">
        <v>109</v>
      </c>
      <c r="C111" s="24"/>
      <c r="D111" s="24"/>
      <c r="E111" s="21"/>
    </row>
    <row r="112" spans="1:5" ht="17.25" thickBot="1" x14ac:dyDescent="0.3">
      <c r="B112" s="14" t="s">
        <v>110</v>
      </c>
      <c r="C112" s="9"/>
    </row>
    <row r="113" spans="1:4" ht="17.25" thickBot="1" x14ac:dyDescent="0.3">
      <c r="A113" s="2">
        <v>0</v>
      </c>
      <c r="B113" s="13" t="s">
        <v>111</v>
      </c>
      <c r="C113" s="11">
        <v>1</v>
      </c>
      <c r="D113" s="19">
        <f>C113*A113</f>
        <v>0</v>
      </c>
    </row>
    <row r="114" spans="1:4" ht="16.5" thickBot="1" x14ac:dyDescent="0.3">
      <c r="B114" s="14" t="s">
        <v>8</v>
      </c>
      <c r="C114" s="9"/>
    </row>
    <row r="115" spans="1:4" ht="32.25" thickBot="1" x14ac:dyDescent="0.3">
      <c r="A115" s="2">
        <v>0</v>
      </c>
      <c r="B115" s="1" t="s">
        <v>112</v>
      </c>
      <c r="C115" s="11">
        <v>1</v>
      </c>
      <c r="D115" s="19">
        <f>C115*A115</f>
        <v>0</v>
      </c>
    </row>
    <row r="116" spans="1:4" ht="32.25" thickBot="1" x14ac:dyDescent="0.3">
      <c r="A116" s="2">
        <v>0</v>
      </c>
      <c r="B116" s="1" t="s">
        <v>15</v>
      </c>
      <c r="C116" s="11">
        <v>1</v>
      </c>
      <c r="D116" s="19">
        <f>C116*A116</f>
        <v>0</v>
      </c>
    </row>
    <row r="117" spans="1:4" ht="16.5" thickBot="1" x14ac:dyDescent="0.3">
      <c r="B117" s="8" t="s">
        <v>113</v>
      </c>
      <c r="C117" s="9"/>
    </row>
    <row r="118" spans="1:4" ht="32.25" thickBot="1" x14ac:dyDescent="0.3">
      <c r="A118" s="2">
        <v>0</v>
      </c>
      <c r="B118" s="1" t="s">
        <v>114</v>
      </c>
      <c r="C118" s="11">
        <v>1</v>
      </c>
      <c r="D118" s="19">
        <f>C118*A118</f>
        <v>0</v>
      </c>
    </row>
    <row r="119" spans="1:4" ht="16.5" thickBot="1" x14ac:dyDescent="0.3">
      <c r="A119" s="2">
        <v>0</v>
      </c>
      <c r="B119" s="1" t="s">
        <v>115</v>
      </c>
      <c r="C119" s="11">
        <v>1</v>
      </c>
      <c r="D119" s="19">
        <f>C119*A119</f>
        <v>0</v>
      </c>
    </row>
    <row r="120" spans="1:4" ht="16.5" thickBot="1" x14ac:dyDescent="0.3">
      <c r="A120" s="2">
        <v>0</v>
      </c>
      <c r="B120" s="1" t="s">
        <v>116</v>
      </c>
      <c r="C120" s="11">
        <v>1</v>
      </c>
      <c r="D120" s="19">
        <f>C120*A120</f>
        <v>0</v>
      </c>
    </row>
    <row r="121" spans="1:4" ht="16.5" thickBot="1" x14ac:dyDescent="0.3">
      <c r="B121" s="8" t="s">
        <v>117</v>
      </c>
      <c r="C121" s="9"/>
    </row>
    <row r="122" spans="1:4" ht="33" thickBot="1" x14ac:dyDescent="0.3">
      <c r="A122" s="2">
        <v>0</v>
      </c>
      <c r="B122" s="1" t="s">
        <v>118</v>
      </c>
      <c r="C122" s="11">
        <v>1</v>
      </c>
      <c r="D122" s="19">
        <f>C122*A122</f>
        <v>0</v>
      </c>
    </row>
    <row r="123" spans="1:4" ht="17.25" thickBot="1" x14ac:dyDescent="0.3">
      <c r="A123" s="2">
        <v>0</v>
      </c>
      <c r="B123" s="1" t="s">
        <v>119</v>
      </c>
      <c r="C123" s="11">
        <v>1</v>
      </c>
      <c r="D123" s="19">
        <f>C123*A123</f>
        <v>0</v>
      </c>
    </row>
    <row r="124" spans="1:4" ht="32.25" thickBot="1" x14ac:dyDescent="0.3">
      <c r="A124" s="2">
        <v>0</v>
      </c>
      <c r="B124" s="1" t="s">
        <v>120</v>
      </c>
      <c r="C124" s="11">
        <v>1</v>
      </c>
      <c r="D124" s="19">
        <f>C124*A124</f>
        <v>0</v>
      </c>
    </row>
    <row r="125" spans="1:4" ht="16.5" thickBot="1" x14ac:dyDescent="0.3">
      <c r="B125" s="8" t="s">
        <v>121</v>
      </c>
      <c r="C125" s="9"/>
    </row>
    <row r="126" spans="1:4" ht="16.5" thickBot="1" x14ac:dyDescent="0.3">
      <c r="A126" s="2">
        <v>0</v>
      </c>
      <c r="B126" s="1" t="s">
        <v>122</v>
      </c>
      <c r="C126" s="11">
        <v>2</v>
      </c>
      <c r="D126" s="19">
        <f>C126*A126</f>
        <v>0</v>
      </c>
    </row>
    <row r="127" spans="1:4" ht="16.5" thickBot="1" x14ac:dyDescent="0.3">
      <c r="A127" s="2">
        <v>0</v>
      </c>
      <c r="B127" s="1" t="s">
        <v>123</v>
      </c>
      <c r="C127" s="11">
        <v>1</v>
      </c>
      <c r="D127" s="19">
        <f>C127*A127</f>
        <v>0</v>
      </c>
    </row>
    <row r="128" spans="1:4" ht="16.5" thickBot="1" x14ac:dyDescent="0.3">
      <c r="A128" s="2">
        <v>0</v>
      </c>
      <c r="B128" s="1" t="s">
        <v>161</v>
      </c>
      <c r="C128" s="11">
        <v>1</v>
      </c>
      <c r="D128" s="19">
        <f>C128*A128</f>
        <v>0</v>
      </c>
    </row>
    <row r="129" spans="1:4" ht="16.5" thickBot="1" x14ac:dyDescent="0.3">
      <c r="B129" s="8" t="s">
        <v>124</v>
      </c>
      <c r="C129" s="9"/>
    </row>
    <row r="130" spans="1:4" ht="16.5" thickBot="1" x14ac:dyDescent="0.3">
      <c r="A130" s="2">
        <v>0</v>
      </c>
      <c r="B130" s="1" t="s">
        <v>125</v>
      </c>
      <c r="C130" s="11">
        <v>1</v>
      </c>
      <c r="D130" s="19">
        <f>C130*A130</f>
        <v>0</v>
      </c>
    </row>
    <row r="131" spans="1:4" ht="32.25" thickBot="1" x14ac:dyDescent="0.3">
      <c r="A131" s="2">
        <v>0</v>
      </c>
      <c r="B131" s="1" t="s">
        <v>126</v>
      </c>
      <c r="C131" s="11">
        <v>1</v>
      </c>
      <c r="D131" s="19">
        <f>C131*A131</f>
        <v>0</v>
      </c>
    </row>
    <row r="132" spans="1:4" ht="16.5" thickBot="1" x14ac:dyDescent="0.3">
      <c r="A132" s="2">
        <v>0</v>
      </c>
      <c r="B132" s="1" t="s">
        <v>127</v>
      </c>
      <c r="C132" s="11">
        <v>1</v>
      </c>
      <c r="D132" s="19">
        <f>C132*A132</f>
        <v>0</v>
      </c>
    </row>
    <row r="133" spans="1:4" ht="16.5" thickBot="1" x14ac:dyDescent="0.3">
      <c r="B133" s="8" t="s">
        <v>128</v>
      </c>
      <c r="C133" s="9"/>
    </row>
    <row r="134" spans="1:4" ht="32.25" thickBot="1" x14ac:dyDescent="0.3">
      <c r="A134" s="2">
        <v>0</v>
      </c>
      <c r="B134" s="1" t="s">
        <v>129</v>
      </c>
      <c r="C134" s="11">
        <v>1</v>
      </c>
      <c r="D134" s="19">
        <f>C134*A134</f>
        <v>0</v>
      </c>
    </row>
    <row r="135" spans="1:4" ht="32.25" thickBot="1" x14ac:dyDescent="0.3">
      <c r="A135" s="2">
        <v>0</v>
      </c>
      <c r="B135" s="1" t="s">
        <v>130</v>
      </c>
      <c r="C135" s="11">
        <v>2</v>
      </c>
      <c r="D135" s="19">
        <f>C135*A135</f>
        <v>0</v>
      </c>
    </row>
    <row r="136" spans="1:4" ht="32.25" thickBot="1" x14ac:dyDescent="0.3">
      <c r="A136" s="2">
        <v>0</v>
      </c>
      <c r="B136" s="1" t="s">
        <v>131</v>
      </c>
      <c r="C136" s="11">
        <v>1</v>
      </c>
      <c r="D136" s="19">
        <f>C136*A136</f>
        <v>0</v>
      </c>
    </row>
    <row r="137" spans="1:4" ht="16.5" thickBot="1" x14ac:dyDescent="0.3">
      <c r="A137" s="2">
        <v>0</v>
      </c>
      <c r="B137" s="1" t="s">
        <v>132</v>
      </c>
      <c r="C137" s="11">
        <v>1</v>
      </c>
      <c r="D137" s="19">
        <f>C137*A137</f>
        <v>0</v>
      </c>
    </row>
    <row r="138" spans="1:4" ht="17.25" thickBot="1" x14ac:dyDescent="0.3">
      <c r="B138" s="8" t="s">
        <v>133</v>
      </c>
      <c r="C138" s="9"/>
    </row>
    <row r="139" spans="1:4" ht="17.25" thickBot="1" x14ac:dyDescent="0.3">
      <c r="A139" s="2">
        <v>0</v>
      </c>
      <c r="B139" s="1" t="s">
        <v>134</v>
      </c>
      <c r="C139" s="11">
        <v>1</v>
      </c>
      <c r="D139" s="19">
        <f t="shared" ref="D139:D144" si="2">C139*A139</f>
        <v>0</v>
      </c>
    </row>
    <row r="140" spans="1:4" ht="32.25" thickBot="1" x14ac:dyDescent="0.3">
      <c r="A140" s="2">
        <v>0</v>
      </c>
      <c r="B140" s="1" t="s">
        <v>135</v>
      </c>
      <c r="C140" s="11">
        <v>1</v>
      </c>
      <c r="D140" s="19">
        <f t="shared" si="2"/>
        <v>0</v>
      </c>
    </row>
    <row r="141" spans="1:4" ht="16.5" thickBot="1" x14ac:dyDescent="0.3">
      <c r="A141" s="2">
        <v>0</v>
      </c>
      <c r="B141" s="1" t="s">
        <v>136</v>
      </c>
      <c r="C141" s="11">
        <v>1</v>
      </c>
      <c r="D141" s="19">
        <f t="shared" si="2"/>
        <v>0</v>
      </c>
    </row>
    <row r="142" spans="1:4" ht="32.25" thickBot="1" x14ac:dyDescent="0.3">
      <c r="A142" s="2">
        <v>0</v>
      </c>
      <c r="B142" s="1" t="s">
        <v>137</v>
      </c>
      <c r="C142" s="11">
        <v>1</v>
      </c>
      <c r="D142" s="19">
        <f t="shared" si="2"/>
        <v>0</v>
      </c>
    </row>
    <row r="143" spans="1:4" ht="16.5" thickBot="1" x14ac:dyDescent="0.3">
      <c r="A143" s="2">
        <v>0</v>
      </c>
      <c r="B143" s="1" t="s">
        <v>138</v>
      </c>
      <c r="C143" s="11">
        <v>1</v>
      </c>
      <c r="D143" s="19">
        <f t="shared" si="2"/>
        <v>0</v>
      </c>
    </row>
    <row r="144" spans="1:4" ht="16.5" thickBot="1" x14ac:dyDescent="0.3">
      <c r="A144" s="2">
        <v>0</v>
      </c>
      <c r="B144" s="1" t="s">
        <v>139</v>
      </c>
      <c r="C144" s="11">
        <v>1</v>
      </c>
      <c r="D144" s="19">
        <f t="shared" si="2"/>
        <v>0</v>
      </c>
    </row>
    <row r="145" spans="1:4" ht="16.5" thickBot="1" x14ac:dyDescent="0.3">
      <c r="B145" s="8" t="s">
        <v>140</v>
      </c>
      <c r="C145" s="9"/>
    </row>
    <row r="146" spans="1:4" ht="16.5" thickBot="1" x14ac:dyDescent="0.3">
      <c r="A146" s="2">
        <v>0</v>
      </c>
      <c r="B146" s="1" t="s">
        <v>141</v>
      </c>
      <c r="C146" s="11">
        <v>1</v>
      </c>
      <c r="D146" s="19">
        <f>C146*A146</f>
        <v>0</v>
      </c>
    </row>
    <row r="147" spans="1:4" ht="16.5" thickBot="1" x14ac:dyDescent="0.3">
      <c r="A147" s="2">
        <v>0</v>
      </c>
      <c r="B147" s="1" t="s">
        <v>142</v>
      </c>
      <c r="C147" s="11">
        <v>1</v>
      </c>
      <c r="D147" s="19">
        <f>C147*A147</f>
        <v>0</v>
      </c>
    </row>
    <row r="148" spans="1:4" ht="16.5" thickBot="1" x14ac:dyDescent="0.3">
      <c r="A148" s="2">
        <v>0</v>
      </c>
      <c r="B148" s="1" t="s">
        <v>143</v>
      </c>
      <c r="C148" s="11">
        <v>2</v>
      </c>
      <c r="D148" s="19">
        <f>C148*A148</f>
        <v>0</v>
      </c>
    </row>
    <row r="149" spans="1:4" ht="32.25" thickBot="1" x14ac:dyDescent="0.3">
      <c r="B149" s="8" t="s">
        <v>144</v>
      </c>
      <c r="C149" s="9"/>
    </row>
    <row r="150" spans="1:4" ht="32.25" thickBot="1" x14ac:dyDescent="0.3">
      <c r="A150" s="2">
        <v>0</v>
      </c>
      <c r="B150" s="1" t="s">
        <v>145</v>
      </c>
      <c r="C150" s="11">
        <v>1</v>
      </c>
      <c r="D150" s="19">
        <f t="shared" ref="D150:D156" si="3">C150*A150</f>
        <v>0</v>
      </c>
    </row>
    <row r="151" spans="1:4" ht="32.25" thickBot="1" x14ac:dyDescent="0.3">
      <c r="A151" s="2">
        <v>0</v>
      </c>
      <c r="B151" s="1" t="s">
        <v>146</v>
      </c>
      <c r="C151" s="11">
        <v>1</v>
      </c>
      <c r="D151" s="19">
        <f t="shared" si="3"/>
        <v>0</v>
      </c>
    </row>
    <row r="152" spans="1:4" ht="32.25" thickBot="1" x14ac:dyDescent="0.3">
      <c r="A152" s="2">
        <v>0</v>
      </c>
      <c r="B152" s="1" t="s">
        <v>147</v>
      </c>
      <c r="C152" s="11">
        <v>1</v>
      </c>
      <c r="D152" s="19">
        <f t="shared" si="3"/>
        <v>0</v>
      </c>
    </row>
    <row r="153" spans="1:4" ht="16.5" thickBot="1" x14ac:dyDescent="0.3">
      <c r="A153" s="2">
        <v>0</v>
      </c>
      <c r="B153" s="1" t="s">
        <v>148</v>
      </c>
      <c r="C153" s="11">
        <v>1</v>
      </c>
      <c r="D153" s="19">
        <f t="shared" si="3"/>
        <v>0</v>
      </c>
    </row>
    <row r="154" spans="1:4" ht="16.5" thickBot="1" x14ac:dyDescent="0.3">
      <c r="A154" s="2">
        <v>0</v>
      </c>
      <c r="B154" s="1" t="s">
        <v>149</v>
      </c>
      <c r="C154" s="11">
        <v>1</v>
      </c>
      <c r="D154" s="19">
        <f t="shared" si="3"/>
        <v>0</v>
      </c>
    </row>
    <row r="155" spans="1:4" ht="32.25" thickBot="1" x14ac:dyDescent="0.3">
      <c r="A155" s="2">
        <v>0</v>
      </c>
      <c r="B155" s="1" t="s">
        <v>150</v>
      </c>
      <c r="C155" s="11">
        <v>1</v>
      </c>
      <c r="D155" s="19">
        <f t="shared" si="3"/>
        <v>0</v>
      </c>
    </row>
    <row r="156" spans="1:4" ht="32.25" thickBot="1" x14ac:dyDescent="0.3">
      <c r="A156" s="2">
        <v>0</v>
      </c>
      <c r="B156" s="1" t="s">
        <v>151</v>
      </c>
      <c r="C156" s="11">
        <v>1</v>
      </c>
      <c r="D156" s="19">
        <f t="shared" si="3"/>
        <v>0</v>
      </c>
    </row>
    <row r="157" spans="1:4" ht="16.5" thickBot="1" x14ac:dyDescent="0.3">
      <c r="B157" s="8" t="s">
        <v>152</v>
      </c>
      <c r="C157" s="9"/>
    </row>
    <row r="158" spans="1:4" ht="32.25" thickBot="1" x14ac:dyDescent="0.3">
      <c r="A158" s="2">
        <v>0</v>
      </c>
      <c r="B158" s="1" t="s">
        <v>153</v>
      </c>
      <c r="C158" s="11">
        <v>1</v>
      </c>
      <c r="D158" s="19">
        <f t="shared" ref="D158:D164" si="4">C158*A158</f>
        <v>0</v>
      </c>
    </row>
    <row r="159" spans="1:4" ht="16.5" thickBot="1" x14ac:dyDescent="0.3">
      <c r="A159" s="2">
        <v>0</v>
      </c>
      <c r="B159" s="1" t="s">
        <v>154</v>
      </c>
      <c r="C159" s="11">
        <v>1</v>
      </c>
      <c r="D159" s="19">
        <f t="shared" si="4"/>
        <v>0</v>
      </c>
    </row>
    <row r="160" spans="1:4" ht="32.25" thickBot="1" x14ac:dyDescent="0.3">
      <c r="A160" s="2">
        <v>0</v>
      </c>
      <c r="B160" s="1" t="s">
        <v>155</v>
      </c>
      <c r="C160" s="11">
        <v>1</v>
      </c>
      <c r="D160" s="19">
        <f t="shared" si="4"/>
        <v>0</v>
      </c>
    </row>
    <row r="161" spans="1:4" ht="16.5" thickBot="1" x14ac:dyDescent="0.3">
      <c r="A161" s="2">
        <v>0</v>
      </c>
      <c r="B161" s="1" t="s">
        <v>156</v>
      </c>
      <c r="C161" s="11">
        <v>1</v>
      </c>
      <c r="D161" s="19">
        <f t="shared" si="4"/>
        <v>0</v>
      </c>
    </row>
    <row r="162" spans="1:4" ht="32.25" thickBot="1" x14ac:dyDescent="0.3">
      <c r="A162" s="2">
        <v>0</v>
      </c>
      <c r="B162" s="1" t="s">
        <v>157</v>
      </c>
      <c r="C162" s="11">
        <v>1</v>
      </c>
      <c r="D162" s="19">
        <f t="shared" si="4"/>
        <v>0</v>
      </c>
    </row>
    <row r="163" spans="1:4" ht="16.5" thickBot="1" x14ac:dyDescent="0.3">
      <c r="A163" s="2">
        <v>0</v>
      </c>
      <c r="B163" s="1" t="s">
        <v>158</v>
      </c>
      <c r="C163" s="11">
        <v>1</v>
      </c>
      <c r="D163" s="19">
        <f t="shared" si="4"/>
        <v>0</v>
      </c>
    </row>
    <row r="164" spans="1:4" ht="32.25" thickBot="1" x14ac:dyDescent="0.3">
      <c r="A164" s="2">
        <v>0</v>
      </c>
      <c r="B164" s="1" t="s">
        <v>159</v>
      </c>
      <c r="C164" s="11">
        <v>1</v>
      </c>
      <c r="D164" s="19">
        <f t="shared" si="4"/>
        <v>0</v>
      </c>
    </row>
    <row r="165" spans="1:4" ht="16.5" thickBot="1" x14ac:dyDescent="0.3">
      <c r="B165" s="10" t="s">
        <v>7</v>
      </c>
      <c r="C165" s="12">
        <f>SUM(C113:C164)</f>
        <v>45</v>
      </c>
      <c r="D165" s="20">
        <f>SUM(D113:D164)</f>
        <v>0</v>
      </c>
    </row>
    <row r="167" spans="1:4" ht="21" x14ac:dyDescent="0.35">
      <c r="B167" s="25" t="str">
        <f>B3</f>
        <v>1. Üzemanyag</v>
      </c>
      <c r="C167" s="26">
        <f>C42</f>
        <v>30</v>
      </c>
      <c r="D167" s="26">
        <f>D42</f>
        <v>0</v>
      </c>
    </row>
    <row r="168" spans="1:4" ht="21" x14ac:dyDescent="0.35">
      <c r="B168" s="25" t="str">
        <f>B44</f>
        <v>2. Próbavizsga</v>
      </c>
      <c r="C168" s="26">
        <f>C66</f>
        <v>15</v>
      </c>
      <c r="D168" s="26">
        <f>D66</f>
        <v>0</v>
      </c>
    </row>
    <row r="169" spans="1:4" ht="21" x14ac:dyDescent="0.35">
      <c r="B169" s="25" t="str">
        <f>B68</f>
        <v>3. Szakkörök</v>
      </c>
      <c r="C169" s="26">
        <f>C109</f>
        <v>30</v>
      </c>
      <c r="D169" s="26">
        <f>D109</f>
        <v>0</v>
      </c>
    </row>
    <row r="170" spans="1:4" ht="21" x14ac:dyDescent="0.35">
      <c r="B170" s="25" t="str">
        <f>B111</f>
        <v>4. Társas</v>
      </c>
      <c r="C170" s="26">
        <f>C165</f>
        <v>45</v>
      </c>
      <c r="D170" s="26">
        <f>D165</f>
        <v>0</v>
      </c>
    </row>
    <row r="171" spans="1:4" x14ac:dyDescent="0.25">
      <c r="C171" s="27">
        <f>SUM(C167:C170)</f>
        <v>120</v>
      </c>
      <c r="D171" s="27">
        <f>SUM(D167:D170)</f>
        <v>0</v>
      </c>
    </row>
  </sheetData>
  <sheetProtection sheet="1" objects="1" scenarios="1"/>
  <dataValidations disablePrompts="1" count="1">
    <dataValidation type="whole" allowBlank="1" showInputMessage="1" showErrorMessage="1" errorTitle="Hibás adat" error="Csak 0 és 1 értéke lehet a cellának." sqref="A5 A7:A8 A17:A19 A14:A15 A10:A12 A21:A26 A28:A37 A39:A41 A46 A48 A50:A52 A54:A55 A57:A58 A60:A61 A70 A63:A65 A72 A74:A75 A77:A79 A81:A83 A85:A87 A89:A92 A94:A97 A105:A108 A99:A103 A113 A115:A116 A122:A124 A118:A120 A126:A128 A130:A132 A134:A137 A139:A144 A146:A148 A150:A156 A158:A164" xr:uid="{00000000-0002-0000-0100-000000000000}">
      <formula1>0</formula1>
      <formula2>1</formula2>
    </dataValidation>
  </dataValidations>
  <pageMargins left="0.59055118110236227" right="0.59055118110236227" top="0.74803149606299213" bottom="0.74803149606299213" header="0.31496062992125984" footer="0.31496062992125984"/>
  <pageSetup paperSize="9" fitToHeight="100" orientation="portrait" r:id="rId1"/>
  <headerFooter>
    <oddFooter>&amp;L2313 gyakorlati vizsga&amp;C&amp;P/&amp;N&amp;R2023. október 25.</oddFooter>
  </headerFooter>
  <rowBreaks count="4" manualBreakCount="4">
    <brk id="48" min="1" max="3" man="1"/>
    <brk id="103" min="1" max="3" man="1"/>
    <brk id="156" min="1" max="3" man="1"/>
    <brk id="165" min="1" max="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3</vt:i4>
      </vt:variant>
    </vt:vector>
  </HeadingPairs>
  <TitlesOfParts>
    <vt:vector size="5" baseType="lpstr">
      <vt:lpstr>Használati útmutató</vt:lpstr>
      <vt:lpstr>Vizsgazo1</vt:lpstr>
      <vt:lpstr>Vizsgazo1!Nyomtatási_cím</vt:lpstr>
      <vt:lpstr>'Használati útmutató'!Nyomtatási_terület</vt:lpstr>
      <vt:lpstr>Vizsgazo1!Nyomtatási_terület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2021-03-02T20:39:12Z</dcterms:created>
  <dcterms:modified xsi:type="dcterms:W3CDTF">2023-10-26T12:59:40Z</dcterms:modified>
</cp:coreProperties>
</file>