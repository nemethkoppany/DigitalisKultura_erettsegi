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codeName="ThisWorkbook" defaultThemeVersion="166925"/>
  <xr:revisionPtr revIDLastSave="9" documentId="11_8A593505962C5C40DEA4F7108F6AC63C8AE2E9E9" xr6:coauthVersionLast="47" xr6:coauthVersionMax="47" xr10:uidLastSave="{2E7F3847-3436-4552-8DD2-2A94130BADBB}"/>
  <bookViews>
    <workbookView xWindow="-110" yWindow="-110" windowWidth="19420" windowHeight="10300" xr2:uid="{00000000-000D-0000-FFFF-FFFF00000000}"/>
  </bookViews>
  <sheets>
    <sheet name="Használati_útmutató" sheetId="78" r:id="rId1"/>
    <sheet name="Vizsgazo1" sheetId="77" r:id="rId2"/>
  </sheets>
  <definedNames>
    <definedName name="_Hlk116144790" localSheetId="1">Vizsgazo1!#REF!</definedName>
    <definedName name="_Hlk116144944" localSheetId="1">Vizsgazo1!#REF!</definedName>
    <definedName name="_Hlk141190080" localSheetId="1">Vizsgazo1!#REF!</definedName>
    <definedName name="_Hlk144877096" localSheetId="1">Vizsgazo1!#REF!</definedName>
    <definedName name="_Hlk179965969" localSheetId="1">Vizsgazo1!$B$7</definedName>
    <definedName name="_xlnm.Print_Titles" localSheetId="1">Vizsgazo1!$1:$2</definedName>
    <definedName name="_xlnm.Print_Area" localSheetId="1">Vizsgazo1!$B$1:$D$222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0" i="77" l="1"/>
  <c r="D209" i="77"/>
  <c r="D208" i="77"/>
  <c r="D206" i="77"/>
  <c r="D205" i="77"/>
  <c r="D204" i="77"/>
  <c r="D203" i="77"/>
  <c r="D202" i="77"/>
  <c r="D201" i="77"/>
  <c r="D200" i="77"/>
  <c r="D190" i="77"/>
  <c r="D180" i="77"/>
  <c r="D170" i="77"/>
  <c r="C161" i="77"/>
  <c r="D160" i="77"/>
  <c r="D150" i="77"/>
  <c r="D140" i="77"/>
  <c r="D130" i="77"/>
  <c r="D120" i="77"/>
  <c r="D110" i="77"/>
  <c r="D109" i="77"/>
  <c r="D108" i="77"/>
  <c r="D107" i="77"/>
  <c r="D106" i="77"/>
  <c r="D104" i="77"/>
  <c r="D103" i="77"/>
  <c r="D102" i="77"/>
  <c r="D101" i="77"/>
  <c r="D90" i="77"/>
  <c r="D60" i="77"/>
  <c r="D50" i="77"/>
  <c r="D40" i="77"/>
  <c r="D30" i="77"/>
  <c r="D20" i="77"/>
  <c r="D10" i="77"/>
  <c r="B221" i="77" l="1"/>
  <c r="B220" i="77"/>
  <c r="B219" i="77"/>
  <c r="B218" i="77"/>
  <c r="C222" i="77"/>
  <c r="C216" i="77"/>
  <c r="D215" i="77"/>
  <c r="D214" i="77"/>
  <c r="D213" i="77"/>
  <c r="D212" i="77"/>
  <c r="D211" i="77"/>
  <c r="D199" i="77"/>
  <c r="D198" i="77"/>
  <c r="D197" i="77"/>
  <c r="D196" i="77"/>
  <c r="D195" i="77"/>
  <c r="D194" i="77"/>
  <c r="D193" i="77"/>
  <c r="D192" i="77"/>
  <c r="D191" i="77"/>
  <c r="D188" i="77"/>
  <c r="D187" i="77"/>
  <c r="D186" i="77"/>
  <c r="D185" i="77"/>
  <c r="D184" i="77"/>
  <c r="D182" i="77"/>
  <c r="D181" i="77"/>
  <c r="D178" i="77"/>
  <c r="D177" i="77"/>
  <c r="D176" i="77"/>
  <c r="D175" i="77"/>
  <c r="D174" i="77"/>
  <c r="D173" i="77"/>
  <c r="D171" i="77"/>
  <c r="D168" i="77"/>
  <c r="D167" i="77"/>
  <c r="D165" i="77"/>
  <c r="D159" i="77"/>
  <c r="D158" i="77"/>
  <c r="D157" i="77"/>
  <c r="D156" i="77"/>
  <c r="D155" i="77"/>
  <c r="D154" i="77"/>
  <c r="D152" i="77"/>
  <c r="D151" i="77"/>
  <c r="D149" i="77"/>
  <c r="D147" i="77"/>
  <c r="D146" i="77"/>
  <c r="D145" i="77"/>
  <c r="D144" i="77"/>
  <c r="D142" i="77"/>
  <c r="D141" i="77"/>
  <c r="D138" i="77"/>
  <c r="D137" i="77"/>
  <c r="D136" i="77"/>
  <c r="D135" i="77"/>
  <c r="D133" i="77"/>
  <c r="D132" i="77"/>
  <c r="D131" i="77"/>
  <c r="D128" i="77"/>
  <c r="D127" i="77"/>
  <c r="D126" i="77"/>
  <c r="D125" i="77"/>
  <c r="D123" i="77"/>
  <c r="D122" i="77"/>
  <c r="D118" i="77"/>
  <c r="C113" i="77"/>
  <c r="C114" i="77" s="1"/>
  <c r="D112" i="77"/>
  <c r="D111" i="77"/>
  <c r="D99" i="77"/>
  <c r="D98" i="77"/>
  <c r="D97" i="77"/>
  <c r="D96" i="77"/>
  <c r="D95" i="77"/>
  <c r="D93" i="77"/>
  <c r="D91" i="77"/>
  <c r="D88" i="77"/>
  <c r="D87" i="77"/>
  <c r="D85" i="77"/>
  <c r="D84" i="77"/>
  <c r="D83" i="77"/>
  <c r="D82" i="77"/>
  <c r="D81" i="77"/>
  <c r="D79" i="77"/>
  <c r="D77" i="77"/>
  <c r="D76" i="77"/>
  <c r="D75" i="77"/>
  <c r="D74" i="77"/>
  <c r="D72" i="77"/>
  <c r="D71" i="77"/>
  <c r="D69" i="77"/>
  <c r="D68" i="77"/>
  <c r="C63" i="77"/>
  <c r="C64" i="77" s="1"/>
  <c r="D62" i="77"/>
  <c r="D61" i="77"/>
  <c r="D58" i="77"/>
  <c r="D57" i="77"/>
  <c r="D56" i="77"/>
  <c r="D55" i="77"/>
  <c r="D53" i="77"/>
  <c r="D52" i="77"/>
  <c r="D51" i="77"/>
  <c r="D49" i="77"/>
  <c r="D47" i="77"/>
  <c r="D45" i="77"/>
  <c r="D44" i="77"/>
  <c r="D43" i="77"/>
  <c r="D42" i="77"/>
  <c r="D41" i="77"/>
  <c r="D39" i="77"/>
  <c r="D38" i="77"/>
  <c r="D37" i="77"/>
  <c r="D36" i="77"/>
  <c r="D34" i="77"/>
  <c r="D33" i="77"/>
  <c r="D31" i="77"/>
  <c r="D29" i="77"/>
  <c r="D28" i="77"/>
  <c r="D27" i="77"/>
  <c r="D26" i="77"/>
  <c r="D25" i="77"/>
  <c r="D23" i="77"/>
  <c r="D22" i="77"/>
  <c r="D21" i="77"/>
  <c r="D19" i="77"/>
  <c r="D18" i="77"/>
  <c r="D17" i="77"/>
  <c r="D16" i="77"/>
  <c r="D15" i="77"/>
  <c r="D14" i="77"/>
  <c r="D12" i="77"/>
  <c r="D11" i="77"/>
  <c r="D9" i="77"/>
  <c r="D8" i="77"/>
  <c r="D7" i="77"/>
  <c r="D161" i="77" l="1"/>
  <c r="D216" i="77"/>
  <c r="D221" i="77" s="1"/>
  <c r="D113" i="77"/>
  <c r="D63" i="77"/>
  <c r="D64" i="77" s="1"/>
  <c r="D218" i="77" s="1"/>
  <c r="D114" i="77" l="1"/>
  <c r="D220" i="77" l="1"/>
  <c r="D222" i="7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C3" authorId="0" shapeId="0" xr:uid="{00000000-0006-0000-0100-000001000000}">
      <text>
        <r>
          <rPr>
            <sz val="9"/>
            <color indexed="81"/>
            <rFont val="Tahoma"/>
            <family val="2"/>
            <charset val="238"/>
          </rPr>
          <t>Amennyiben a vizsgázó nem jelölte az általa választott feladatot, a vizsgaleírás alapján az 1.A feladatot kell értékelni.
Ennek megfelelően a cella üresen hagyása esetén a táblázat az 1.A feladatban elért pontokkal számol.</t>
        </r>
      </text>
    </comment>
    <comment ref="C4" authorId="0" shapeId="0" xr:uid="{00000000-0006-0000-0100-000002000000}">
      <text>
        <r>
          <rPr>
            <sz val="9"/>
            <color indexed="81"/>
            <rFont val="Tahoma"/>
            <family val="2"/>
            <charset val="238"/>
          </rPr>
          <t xml:space="preserve">Kérjük, válassza ki a vizsgázó által használt programozási környezetet!
</t>
        </r>
      </text>
    </comment>
    <comment ref="B5" authorId="0" shapeId="0" xr:uid="{00000000-0006-0000-0100-000003000000}">
      <text>
        <r>
          <rPr>
            <sz val="10"/>
            <color indexed="81"/>
            <rFont val="Tahoma"/>
            <family val="2"/>
            <charset val="238"/>
          </rPr>
          <t xml:space="preserve">A megoldásban a stilus.css stíluslapban és a fejlécelemekben felsorolt stílusok paraméterezése és használata értékelhető. Az inline stílusok használatáért és a HTML5-szabványtól eltérően paraméterezett  HTML-tagek használatáért nem jár pont.
A kép és a hivatkozás szövegbe illesztése csak a megoldás mappán belüli relatív útvonalmegadás esetén fogadható el.
</t>
        </r>
      </text>
    </comment>
    <comment ref="B9" authorId="0" shapeId="0" xr:uid="{00000000-0006-0000-0100-000004000000}">
      <text>
        <r>
          <rPr>
            <sz val="10"/>
            <color indexed="81"/>
            <rFont val="Tahoma"/>
            <family val="2"/>
            <charset val="238"/>
          </rPr>
          <t>A pont nem adható meg, ha a jobb oldali képrészleten nem a színész feje és kalapja tölti ki a képrészlet nagyobb részét.</t>
        </r>
      </text>
    </comment>
    <comment ref="B15" authorId="0" shapeId="0" xr:uid="{00000000-0006-0000-0100-000005000000}">
      <text>
        <r>
          <rPr>
            <sz val="10"/>
            <color indexed="81"/>
            <rFont val="Tahoma"/>
            <family val="2"/>
            <charset val="238"/>
          </rPr>
          <t>A pont jár akkor is, ha a szerkezet táblázatként került kialakításra.</t>
        </r>
      </text>
    </comment>
    <comment ref="B21" authorId="0" shapeId="0" xr:uid="{00000000-0006-0000-0100-000006000000}">
      <text>
        <r>
          <rPr>
            <sz val="10"/>
            <color indexed="81"/>
            <rFont val="Tahoma"/>
            <family val="2"/>
            <charset val="238"/>
          </rPr>
          <t xml:space="preserve">Az előző 5 pont jár akkor is, ha a beállításokat nem a stilus.css-ben, hanem az adott HTML dokumentum head részében végezte el.
</t>
        </r>
      </text>
    </comment>
    <comment ref="B26" authorId="0" shapeId="0" xr:uid="{00000000-0006-0000-0100-000007000000}">
      <text>
        <r>
          <rPr>
            <sz val="10"/>
            <color indexed="81"/>
            <rFont val="Tahoma"/>
            <family val="2"/>
            <charset val="238"/>
          </rPr>
          <t>A fenti pontok akkor is járnak, ha a dijazottak.html dokumentumba az összes eddigi díjazott felsorolását nem vagy hibásan illesztette be.</t>
        </r>
      </text>
    </comment>
    <comment ref="B41" authorId="0" shapeId="0" xr:uid="{00000000-0006-0000-0100-000008000000}">
      <text>
        <r>
          <rPr>
            <sz val="10"/>
            <color indexed="81"/>
            <rFont val="Tahoma"/>
            <family val="2"/>
            <charset val="238"/>
          </rPr>
          <t>A pont jár akkor is, ha más oldalról is beállította a távolságot.</t>
        </r>
      </text>
    </comment>
    <comment ref="B43" authorId="0" shapeId="0" xr:uid="{00000000-0006-0000-0100-000009000000}">
      <text>
        <r>
          <rPr>
            <sz val="10"/>
            <color indexed="81"/>
            <rFont val="Tahoma"/>
            <family val="2"/>
            <charset val="238"/>
          </rPr>
          <t>A pont jár akkor is, ha az &lt;img&gt; tag width paraméterében állította be.
A pont nem adható meg, ha a beállítást inline css formázással tette meg.</t>
        </r>
      </text>
    </comment>
    <comment ref="B51" authorId="0" shapeId="0" xr:uid="{00000000-0006-0000-0100-00000A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57" authorId="0" shapeId="0" xr:uid="{00000000-0006-0000-0100-00000B000000}">
      <text>
        <r>
          <rPr>
            <sz val="10"/>
            <color indexed="81"/>
            <rFont val="Tahoma"/>
            <family val="2"/>
            <charset val="238"/>
          </rPr>
          <t>A pont jár akkor is, ha az &lt;img&gt; tag width paraméterében állította be.
A pont nem adható meg, ha a beállítást inline css formázással tette meg.</t>
        </r>
      </text>
    </comment>
    <comment ref="B68" authorId="0" shapeId="0" xr:uid="{00000000-0006-0000-0100-00000C000000}">
      <text>
        <r>
          <rPr>
            <sz val="10"/>
            <color indexed="81"/>
            <rFont val="Tahoma"/>
            <family val="2"/>
            <charset val="238"/>
          </rPr>
          <t>A pont nem adható meg, ha a forrás nem megfelelő karakterkódolással került az állományba.</t>
        </r>
      </text>
    </comment>
    <comment ref="B71" authorId="0" shapeId="0" xr:uid="{00000000-0006-0000-0100-00000D000000}">
      <text>
        <r>
          <rPr>
            <sz val="10"/>
            <color indexed="81"/>
            <rFont val="Tahoma"/>
            <family val="2"/>
            <charset val="238"/>
          </rPr>
          <t xml:space="preserve">Például:
D3-as cellában:
=RADIÁN(C3)
</t>
        </r>
      </text>
    </comment>
    <comment ref="B77" authorId="0" shapeId="0" xr:uid="{00000000-0006-0000-0100-00000E000000}">
      <text>
        <r>
          <rPr>
            <sz val="10"/>
            <color indexed="81"/>
            <rFont val="Tahoma"/>
            <family val="2"/>
            <charset val="238"/>
          </rPr>
          <t xml:space="preserve">Például:
G3-as cellában:
=ARCCOS(SIN(D3)*SIN($U$2)+COS(D3)*COS($U$2)*COS($V$2-F3))*6371
</t>
        </r>
      </text>
    </comment>
    <comment ref="B79" authorId="0" shapeId="0" xr:uid="{00000000-0006-0000-0100-00000F000000}">
      <text>
        <r>
          <rPr>
            <sz val="10"/>
            <color indexed="81"/>
            <rFont val="Tahoma"/>
            <family val="2"/>
            <charset val="238"/>
          </rPr>
          <t xml:space="preserve">Például:
N3-as cellában:
=SZUM(K3:M3)
</t>
        </r>
      </text>
    </comment>
    <comment ref="B81" authorId="0" shapeId="0" xr:uid="{00000000-0006-0000-0100-000010000000}">
      <text>
        <r>
          <rPr>
            <sz val="10"/>
            <color indexed="81"/>
            <rFont val="Tahoma"/>
            <family val="2"/>
            <charset val="238"/>
          </rPr>
          <t xml:space="preserve">Például:
segédcellában „Jún”-ra keresve:
=SZÖVEG.TALÁL("Jún";$H3)
vagy
ha az X2-es cellába beírta a Jún” szót
=SZÖVEG.KERES(X$2;$H3)
=DARABHATÖBB($H3;"*Jún*")
A pont nem bontható.
</t>
        </r>
      </text>
    </comment>
    <comment ref="B82" authorId="0" shapeId="0" xr:uid="{00000000-0006-0000-0100-000011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84" authorId="0" shapeId="0" xr:uid="{00000000-0006-0000-0100-000012000000}">
      <text>
        <r>
          <rPr>
            <sz val="10"/>
            <color indexed="81"/>
            <rFont val="Tahoma"/>
            <family val="2"/>
            <charset val="238"/>
          </rPr>
          <t>A pont jár akkor is, ha az „Egész évben” szöveget nem vette figyelembe.</t>
        </r>
      </text>
    </comment>
    <comment ref="B85" authorId="0" shapeId="0" xr:uid="{00000000-0006-0000-0100-000013000000}">
      <text>
        <r>
          <rPr>
            <sz val="10"/>
            <color indexed="81"/>
            <rFont val="Tahoma"/>
            <family val="2"/>
            <charset val="238"/>
          </rPr>
          <t xml:space="preserve">Például:
P3-as cellában:
=HA(SZUM(X3:AA3)&gt;=1;"Igen";"Nem")
</t>
        </r>
      </text>
    </comment>
    <comment ref="B87" authorId="0" shapeId="0" xr:uid="{00000000-0006-0000-0100-000014000000}">
      <text>
        <r>
          <rPr>
            <sz val="10"/>
            <color indexed="81"/>
            <rFont val="Tahoma"/>
            <family val="2"/>
            <charset val="238"/>
          </rPr>
          <t xml:space="preserve">Például:
T4-es cellában:
=MIN(G3:G357)
</t>
        </r>
      </text>
    </comment>
    <comment ref="B88" authorId="0" shapeId="0" xr:uid="{00000000-0006-0000-0100-000015000000}">
      <text>
        <r>
          <rPr>
            <sz val="10"/>
            <color indexed="81"/>
            <rFont val="Tahoma"/>
            <family val="2"/>
            <charset val="238"/>
          </rPr>
          <t xml:space="preserve">Például:
S4-es cellában:
=INDEX(A3:A357;HOL.VAN(T4;G3:G357;0))
A pont nem bontható.
</t>
        </r>
      </text>
    </comment>
    <comment ref="B90" authorId="0" shapeId="0" xr:uid="{00000000-0006-0000-0100-000016000000}">
      <text>
        <r>
          <rPr>
            <sz val="10"/>
            <color indexed="81"/>
            <rFont val="Tahoma"/>
            <family val="2"/>
            <charset val="238"/>
          </rPr>
          <t xml:space="preserve">Például:
T5-ös cellában:
=MAX(I3:I357)
</t>
        </r>
      </text>
    </comment>
    <comment ref="B91" authorId="0" shapeId="0" xr:uid="{00000000-0006-0000-0100-000017000000}">
      <text>
        <r>
          <rPr>
            <sz val="10"/>
            <color indexed="81"/>
            <rFont val="Tahoma"/>
            <family val="2"/>
            <charset val="238"/>
          </rPr>
          <t xml:space="preserve">Például:
S5-ös cellában:
=INDEX(A3:A357;HOL.VAN(T5;I3:I357;0))
A pont nem bontható.
A pont jár függetlenül attól, hogy az R5-ös cellában helyes érték jelenik-e meg.
</t>
        </r>
      </text>
    </comment>
    <comment ref="B93" authorId="0" shapeId="0" xr:uid="{00000000-0006-0000-0100-000018000000}">
      <text>
        <r>
          <rPr>
            <sz val="10"/>
            <color indexed="81"/>
            <rFont val="Tahoma"/>
            <family val="2"/>
            <charset val="238"/>
          </rPr>
          <t xml:space="preserve">Például:
T6-es cellában:
=DARABHATÖBB(B3:B357;S6)
A pont nem bontható
</t>
        </r>
      </text>
    </comment>
    <comment ref="B97" authorId="0" shapeId="0" xr:uid="{00000000-0006-0000-0100-000019000000}">
      <text>
        <r>
          <rPr>
            <sz val="10"/>
            <color indexed="81"/>
            <rFont val="Tahoma"/>
            <family val="2"/>
            <charset val="238"/>
          </rPr>
          <t>A pont nem adható meg, ha a rendezés során a síparadicsomok adatai nem együtt mozogtak.</t>
        </r>
      </text>
    </comment>
    <comment ref="B98" authorId="0" shapeId="0" xr:uid="{00000000-0006-0000-0100-00001A000000}">
      <text>
        <r>
          <rPr>
            <sz val="10"/>
            <color indexed="81"/>
            <rFont val="Tahoma"/>
            <family val="2"/>
            <charset val="238"/>
          </rPr>
          <t>A pont jár akkor is, ha a feltétel téves, de az annak megfelelő cellák világoskék kitöltőszínnel jelennek meg.</t>
        </r>
      </text>
    </comment>
    <comment ref="B99" authorId="0" shapeId="0" xr:uid="{00000000-0006-0000-0100-00001B000000}">
      <text>
        <r>
          <rPr>
            <sz val="10"/>
            <color indexed="81"/>
            <rFont val="Tahoma"/>
            <family val="2"/>
            <charset val="238"/>
          </rPr>
          <t>A pont jár akkor is, ha a feltétel helyes, de az annak megfelelő celláknál a kitöltés színe nem világoskék.</t>
        </r>
      </text>
    </comment>
    <comment ref="B116" authorId="0" shapeId="0" xr:uid="{00000000-0006-0000-0100-00001C000000}">
      <text>
        <r>
          <rPr>
            <sz val="10"/>
            <color indexed="81"/>
            <rFont val="Tahoma"/>
            <family val="2"/>
            <charset val="238"/>
          </rPr>
          <t>A feladat javítása során a beadott állományokba írt SQL-kódok kerülnek értékelésre. Fájlnévtől függetlenül az állományok tartalma értékelendő.</t>
        </r>
      </text>
    </comment>
    <comment ref="B118" authorId="0" shapeId="0" xr:uid="{00000000-0006-0000-0100-00001D000000}">
      <text>
        <r>
          <rPr>
            <sz val="10"/>
            <color indexed="81"/>
            <rFont val="Tahoma"/>
            <family val="2"/>
            <charset val="238"/>
          </rPr>
          <t>A pont nem adható meg, ha négynél kevesebb helyes fájlnevű, SQL‑kódot tartalmazó állományt készített.</t>
        </r>
      </text>
    </comment>
    <comment ref="B120" authorId="0" shapeId="0" xr:uid="{00000000-0006-0000-0100-00001E000000}">
      <text>
        <r>
          <rPr>
            <sz val="10"/>
            <color indexed="81"/>
            <rFont val="Tahoma"/>
            <family val="2"/>
            <charset val="238"/>
          </rPr>
          <t>A pont nem adható meg, ha háromnál kevesebb lekérdezést készített.</t>
        </r>
      </text>
    </comment>
    <comment ref="B123" authorId="0" shapeId="0" xr:uid="{00000000-0006-0000-0100-00001F000000}">
      <text>
        <r>
          <rPr>
            <sz val="10"/>
            <color indexed="81"/>
            <rFont val="Tahoma"/>
            <family val="2"/>
            <charset val="238"/>
          </rPr>
          <t>Például:
SELECT nev
FROM diakok
WHERE telepules='Barnamalom';</t>
        </r>
      </text>
    </comment>
    <comment ref="B128" authorId="0" shapeId="0" xr:uid="{00000000-0006-0000-0100-000020000000}">
      <text>
        <r>
          <rPr>
            <sz val="10"/>
            <color indexed="81"/>
            <rFont val="Tahoma"/>
            <family val="2"/>
            <charset val="238"/>
          </rPr>
          <t>Például:
SELECT datum, terem, orasorszam
FROM orak
WHERE targy='angol'
ORDER BY datum, orasorszam;</t>
        </r>
      </text>
    </comment>
    <comment ref="B133" authorId="0" shapeId="0" xr:uid="{00000000-0006-0000-0100-000021000000}">
      <text>
        <r>
          <rPr>
            <sz val="10"/>
            <color indexed="81"/>
            <rFont val="Tahoma"/>
            <family val="2"/>
            <charset val="238"/>
          </rPr>
          <t>Például:
SELECT csoport, targy, datum
FROM orak
WHERE csoport LIKE '9%' AND (targy='matematika' OR targy='fizika')
ORDER BY targy;</t>
        </r>
      </text>
    </comment>
    <comment ref="B135" authorId="0" shapeId="0" xr:uid="{00000000-0006-0000-0100-000022000000}">
      <text>
        <r>
          <rPr>
            <sz val="10"/>
            <color indexed="81"/>
            <rFont val="Tahoma"/>
            <family val="2"/>
            <charset val="238"/>
          </rPr>
          <t>A pont akkor is jár, ha a számítás módja nem helyes</t>
        </r>
      </text>
    </comment>
    <comment ref="B138" authorId="0" shapeId="0" xr:uid="{00000000-0006-0000-0100-000023000000}">
      <text>
        <r>
          <rPr>
            <sz val="10"/>
            <color indexed="81"/>
            <rFont val="Tahoma"/>
            <family val="2"/>
            <charset val="238"/>
          </rPr>
          <t>Például:
SELECT telepules, COUNT(id)
FROM diakok
GROUP BY telepules
ORDER BY Count(id) DESC;</t>
        </r>
      </text>
    </comment>
    <comment ref="B142" authorId="0" shapeId="0" xr:uid="{00000000-0006-0000-0100-000024000000}">
      <text>
        <r>
          <rPr>
            <sz val="10"/>
            <color indexed="81"/>
            <rFont val="Tahoma"/>
            <family val="2"/>
            <charset val="238"/>
          </rPr>
          <t>Például:
SELECT DISTINCT targy
FROM orak
ORDER BY targy;
vagy
SELECT targy
FROM orak
GROUP BY targy
ORDER BY targy;</t>
        </r>
      </text>
    </comment>
    <comment ref="B147" authorId="0" shapeId="0" xr:uid="{00000000-0006-0000-0100-000025000000}">
      <text>
        <r>
          <rPr>
            <sz val="10"/>
            <color indexed="81"/>
            <rFont val="Tahoma"/>
            <family val="2"/>
            <charset val="238"/>
          </rPr>
          <t>Például:
SELECT nev, email, telefon
FROM orak, diakok, kapcsolo
WHERE tanar='Angol Anna' AND datum='2028-11-10'
AND diakok.id=diakid
AND orak.id=oraid;</t>
        </r>
      </text>
    </comment>
    <comment ref="B151" authorId="0" shapeId="0" xr:uid="{00000000-0006-0000-0100-000026000000}">
      <text>
        <r>
          <rPr>
            <sz val="10"/>
            <color indexed="81"/>
            <rFont val="Tahoma"/>
            <family val="2"/>
            <charset val="238"/>
          </rPr>
          <t>A pont nem bontható</t>
        </r>
      </text>
    </comment>
    <comment ref="B152" authorId="0" shapeId="0" xr:uid="{00000000-0006-0000-0100-000027000000}">
      <text>
        <r>
          <rPr>
            <sz val="10"/>
            <color indexed="81"/>
            <rFont val="Tahoma"/>
            <family val="2"/>
            <charset val="238"/>
          </rPr>
          <t>Például:
SELECT nev
FROM diakok
WHERE nev&lt;&gt;'Majer Melinda' AND telepules=(SELECT telepules FROM diakok  
                                                              WHERE nev='Majer Melinda');
vagy
SELECT diak2.nev
FROM diakok as diak1, diakok as diak2
WHERE diak2.nev&lt;&gt;'Majer Melinda'
               AND diak1.telepules=diak2.telepules
               AND diak1.nev='Majer Melinda'</t>
        </r>
      </text>
    </comment>
    <comment ref="B160" authorId="0" shapeId="0" xr:uid="{00000000-0006-0000-0100-000028000000}">
      <text>
        <r>
          <rPr>
            <sz val="10"/>
            <color indexed="81"/>
            <rFont val="Tahoma"/>
            <family val="2"/>
            <charset val="238"/>
          </rPr>
          <t xml:space="preserve">Például:
SELECT datum, orasorszam, targy, tanar,
ferohely-Count(orak.id) AS szabad
FROM orak, kapcsolo
WHERE oraid=orak.id
GROUP BY orak.id
HAVING szabad&gt;0
ORDER BY szabad DESC;
vagy 
SELECT datum, orasorszam, targy, tanar, ferohely - count(kapcsolo.id) as szabad
FROM orak left join kapcsolo on kapcsolo.oraid = orak.id
GROUP BY orak.id
HAVING szabad &gt; 0
ORDER BY szabad DESC;
</t>
        </r>
      </text>
    </comment>
    <comment ref="B163" authorId="0" shapeId="0" xr:uid="{00000000-0006-0000-0100-000029000000}">
      <text>
        <r>
          <rPr>
            <sz val="10"/>
            <color indexed="81"/>
            <rFont val="Tahoma"/>
            <family val="2"/>
            <charset val="238"/>
          </rPr>
          <t xml:space="preserve">A beadott program csak abban az esetben értékelhető, ha van a programozási környezetnek megfelelő forrásállomány, és az tartalmazza a részfeladat megoldásához tartozó forráskódot.
A pontozás során futási hibás vagy csak részlegesen jó megoldás is értékelendő. A részpontszám jár, ha a kódnak az adott elemnél feltüntetett megfelelő részlete hibátlan. A kiírásért ékezethelyességtől függetlenül is járnak a pontok. A kommentben elhelyezett tartalom nem értékelhető. A kiíráshoz tartozó pontok járnak, ha a szöveg tartalmilag kifejezi a feladat szövegében vagy a kommunikációs mintában foglaltakat.
</t>
        </r>
      </text>
    </comment>
    <comment ref="B165" authorId="0" shapeId="0" xr:uid="{00000000-0006-0000-0100-00002A000000}">
      <text>
        <r>
          <rPr>
            <sz val="10"/>
            <color indexed="81"/>
            <rFont val="Tahoma"/>
            <family val="2"/>
            <charset val="238"/>
          </rPr>
          <t>A pont csak akkor jár, ha a név pontos, a program fordítási és futtatási hibát nem tartalmaz.</t>
        </r>
      </text>
    </comment>
    <comment ref="B168" authorId="0" shapeId="0" xr:uid="{00000000-0006-0000-0100-00002B000000}">
      <text>
        <r>
          <rPr>
            <sz val="10"/>
            <color indexed="81"/>
            <rFont val="Tahoma"/>
            <family val="2"/>
            <charset val="238"/>
          </rPr>
          <t>A pont csak akkor jár, ha legalább 3 sorszámozott feladatra adott megoldást, amely a sorszám megjelenítésén kívül mást is végzett.</t>
        </r>
      </text>
    </comment>
    <comment ref="B171" authorId="0" shapeId="0" xr:uid="{00000000-0006-0000-0100-00002C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178" authorId="0" shapeId="0" xr:uid="{00000000-0006-0000-0100-00002D000000}">
      <text>
        <r>
          <rPr>
            <sz val="10"/>
            <color indexed="81"/>
            <rFont val="Tahoma"/>
            <family val="2"/>
            <charset val="238"/>
          </rPr>
          <t>Az előző két pont jár akkor is, ha a válasz hibás, de az számítás eredménye.</t>
        </r>
      </text>
    </comment>
    <comment ref="B180" authorId="0" shapeId="0" xr:uid="{00000000-0006-0000-0100-00002E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181" authorId="0" shapeId="0" xr:uid="{00000000-0006-0000-0100-00002F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182" authorId="0" shapeId="0" xr:uid="{00000000-0006-0000-0100-000030000000}">
      <text>
        <r>
          <rPr>
            <sz val="10"/>
            <color indexed="81"/>
            <rFont val="Tahoma"/>
            <family val="2"/>
            <charset val="238"/>
          </rPr>
          <t>A pont jár akkor is, ha a válaszok hibásak, de azokat számítás eredményeként kapta.</t>
        </r>
      </text>
    </comment>
    <comment ref="B187" authorId="0" shapeId="0" xr:uid="{00000000-0006-0000-0100-000031000000}">
      <text>
        <r>
          <rPr>
            <sz val="9"/>
            <color indexed="81"/>
            <rFont val="Tahoma"/>
            <family val="2"/>
            <charset val="238"/>
          </rPr>
          <t>A pont nem adható meg, ha több könyv adatait is megjeleníti.</t>
        </r>
      </text>
    </comment>
    <comment ref="B188" authorId="0" shapeId="0" xr:uid="{00000000-0006-0000-0100-000032000000}">
      <text>
        <r>
          <rPr>
            <sz val="10"/>
            <color indexed="81"/>
            <rFont val="Tahoma"/>
            <family val="2"/>
            <charset val="238"/>
          </rPr>
          <t>A pont akkor is jár, ha hibás a keresés eredménye, de azt a megadott formában írta ki.</t>
        </r>
      </text>
    </comment>
    <comment ref="B199" authorId="0" shapeId="0" xr:uid="{00000000-0006-0000-0100-000033000000}">
      <text>
        <r>
          <rPr>
            <sz val="10"/>
            <color indexed="81"/>
            <rFont val="Tahoma"/>
            <family val="2"/>
            <charset val="238"/>
          </rPr>
          <t>A pont jár akkor is, ha az eredmények hibásak, de azokat számítás során kapta.</t>
        </r>
      </text>
    </comment>
    <comment ref="B203" authorId="0" shapeId="0" xr:uid="{00000000-0006-0000-0100-000034000000}">
      <text>
        <r>
          <rPr>
            <sz val="10"/>
            <color indexed="81"/>
            <rFont val="Tahoma"/>
            <family val="2"/>
            <charset val="238"/>
          </rPr>
          <t>A pont jár akkor is, ha a &lt;th&gt; címkék helyett &lt;td&gt; címkék szerepelnek.</t>
        </r>
      </text>
    </comment>
    <comment ref="B206" authorId="0" shapeId="0" xr:uid="{00000000-0006-0000-0100-000035000000}">
      <text>
        <r>
          <rPr>
            <sz val="10"/>
            <color indexed="81"/>
            <rFont val="Tahoma"/>
            <family val="2"/>
            <charset val="238"/>
          </rPr>
          <t>A pont jár akkor is, ha az eredmények hibásak, de azokat számítás során kapta.</t>
        </r>
      </text>
    </comment>
    <comment ref="B208" authorId="0" shapeId="0" xr:uid="{00000000-0006-0000-0100-000036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213" authorId="0" shapeId="0" xr:uid="{00000000-0006-0000-0100-000037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214" authorId="0" shapeId="0" xr:uid="{00000000-0006-0000-0100-000038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215" authorId="0" shapeId="0" xr:uid="{00000000-0006-0000-0100-000039000000}">
      <text>
        <r>
          <rPr>
            <sz val="10"/>
            <color indexed="81"/>
            <rFont val="Tahoma"/>
            <family val="2"/>
            <charset val="238"/>
          </rPr>
          <t>A pont jár akkor is, ha az eredmények hibásak, de azokat számítás során kapta.</t>
        </r>
      </text>
    </comment>
  </commentList>
</comments>
</file>

<file path=xl/sharedStrings.xml><?xml version="1.0" encoding="utf-8"?>
<sst xmlns="http://schemas.openxmlformats.org/spreadsheetml/2006/main" count="222" uniqueCount="220">
  <si>
    <t>Kedves Javító Kolléga!</t>
  </si>
  <si>
    <t>A "Vizsgazo1" munkalapból minden vizsgázó számára készítsen egy másolatot!</t>
  </si>
  <si>
    <t>Az értékelést az "A" oszlopban végezze. Amennyiben a vizsgázó a feladatrészt megoldotta, írjon 1-est, ha nem, írjon 0-t! A táblázatkezelő ennek segítségével meghatározza a részpontszámokat és összpontszámokat.</t>
  </si>
  <si>
    <t>Az értékelés befejezése után az értékelési útmutató kinyomtatható. A nyomtatási terület ennek megfelelően beállított. 
A papírtakarékosság érdekében javasoljuk a füzetnyomtatás vagy a több oldal egy lapon beállítások használatát.</t>
  </si>
  <si>
    <r>
      <t xml:space="preserve">Amennyiben az egyes feladatokhoz megjegyzést szeretne írni, azt az </t>
    </r>
    <r>
      <rPr>
        <b/>
        <sz val="12"/>
        <color theme="1"/>
        <rFont val="Times New Roman"/>
        <family val="1"/>
        <charset val="238"/>
      </rPr>
      <t>E</t>
    </r>
    <r>
      <rPr>
        <sz val="12"/>
        <color theme="1"/>
        <rFont val="Times New Roman"/>
        <family val="1"/>
        <charset val="238"/>
      </rPr>
      <t xml:space="preserve"> oszlopban teheti meg, ez nem része a nyomtatási területnek.</t>
    </r>
  </si>
  <si>
    <t>Minden lekérdezésben a megfelelő mezők szerepelnek</t>
  </si>
  <si>
    <t>Üzenetek a képernyőn</t>
  </si>
  <si>
    <t>Feladatpontok összesen:</t>
  </si>
  <si>
    <r>
      <t xml:space="preserve">A </t>
    </r>
    <r>
      <rPr>
        <b/>
        <sz val="12"/>
        <color rgb="FF000000"/>
        <rFont val="Times New Roman"/>
        <family val="1"/>
        <charset val="238"/>
      </rPr>
      <t>D1</t>
    </r>
    <r>
      <rPr>
        <sz val="12"/>
        <color indexed="8"/>
        <rFont val="Times New Roman"/>
        <family val="1"/>
        <charset val="238"/>
      </rPr>
      <t>-es cellába írja be a vizsgázó kódját!</t>
    </r>
  </si>
  <si>
    <r>
      <t xml:space="preserve">A </t>
    </r>
    <r>
      <rPr>
        <b/>
        <sz val="12"/>
        <color rgb="FF000000"/>
        <rFont val="Times New Roman"/>
        <family val="1"/>
        <charset val="238"/>
      </rPr>
      <t>C3</t>
    </r>
    <r>
      <rPr>
        <sz val="12"/>
        <color indexed="8"/>
        <rFont val="Times New Roman"/>
        <family val="1"/>
        <charset val="238"/>
      </rPr>
      <t xml:space="preserve">-as cellába írja be a </t>
    </r>
    <r>
      <rPr>
        <b/>
        <sz val="12"/>
        <color rgb="FF000000"/>
        <rFont val="Times New Roman"/>
        <family val="1"/>
        <charset val="238"/>
      </rPr>
      <t>vizsgázó által választott feladat betűjelét</t>
    </r>
    <r>
      <rPr>
        <sz val="12"/>
        <color indexed="8"/>
        <rFont val="Times New Roman"/>
        <family val="1"/>
        <charset val="238"/>
      </rPr>
      <t xml:space="preserve">, amelyet a feladatlap első oldalán talál. Amennyiben a vizsgázó betűjelet nem adta meg, és a beadott fájlok alapján sem derül ki egyértelműen, hogy melyik feladatot választotta, akkor az 1.A feladatot kell értékelni. </t>
    </r>
    <r>
      <rPr>
        <b/>
        <sz val="12"/>
        <color rgb="FF000000"/>
        <rFont val="Times New Roman"/>
        <family val="1"/>
        <charset val="238"/>
      </rPr>
      <t xml:space="preserve">Ha az adott munkalapon a C3 cella üresen marad, az értékelő táblázat az 1.A feladathoz beírt pontszámok alapján számolja ki az összpontszámot. </t>
    </r>
  </si>
  <si>
    <t>A vizsgázó által választott első feladat betűjele (A vagy B):</t>
  </si>
  <si>
    <t>A bemeneti fájl feldolgozása és az adatok tárolása</t>
  </si>
  <si>
    <t>Azonosító jel:</t>
  </si>
  <si>
    <r>
      <t xml:space="preserve">A megoldás </t>
    </r>
    <r>
      <rPr>
        <sz val="11"/>
        <color theme="1"/>
        <rFont val="Courier New"/>
        <family val="3"/>
        <charset val="238"/>
      </rPr>
      <t>.sql</t>
    </r>
    <r>
      <rPr>
        <sz val="12"/>
        <color theme="1"/>
        <rFont val="Times New Roman"/>
        <family val="1"/>
        <charset val="238"/>
      </rPr>
      <t xml:space="preserve"> állományok létrehozása</t>
    </r>
  </si>
  <si>
    <t>1A. Garas Dezső</t>
  </si>
  <si>
    <r>
      <t xml:space="preserve">A </t>
    </r>
    <r>
      <rPr>
        <i/>
        <sz val="11"/>
        <color theme="1"/>
        <rFont val="Courier New"/>
        <family val="3"/>
        <charset val="238"/>
      </rPr>
      <t>szerepek.jpg</t>
    </r>
    <r>
      <rPr>
        <sz val="12"/>
        <color theme="1"/>
        <rFont val="Times New Roman"/>
        <family val="1"/>
        <charset val="238"/>
      </rPr>
      <t xml:space="preserve"> kép elkészítése</t>
    </r>
  </si>
  <si>
    <r>
      <t xml:space="preserve">A </t>
    </r>
    <r>
      <rPr>
        <i/>
        <sz val="11"/>
        <color theme="1"/>
        <rFont val="Courier New"/>
        <family val="3"/>
        <charset val="238"/>
      </rPr>
      <t>szerepek.jpg</t>
    </r>
    <r>
      <rPr>
        <sz val="12"/>
        <color theme="1"/>
        <rFont val="Times New Roman"/>
        <family val="1"/>
        <charset val="238"/>
      </rPr>
      <t xml:space="preserve"> kép létezik, 1100×400 képpont méretű</t>
    </r>
  </si>
  <si>
    <t>Az elkészült kép tartalmaz legalább 2 képet a megadottak közül</t>
  </si>
  <si>
    <t>Az elkészült kép a szükséges 3 képet tartalmazza, jó sorrendben, az arcok mindegyike látható</t>
  </si>
  <si>
    <t>A kép szürkeárnyalatos</t>
  </si>
  <si>
    <t>A képrészletek nem függőleges vonal mentén illeszkednek</t>
  </si>
  <si>
    <t>Az elválasztó vonalak alsó és felső végpontja közötti vízszintes távolság 50 és 200 képpont közötti, a két távolság közötti eltérés 25 képpontnál kevesebb</t>
  </si>
  <si>
    <t>A dokumentum alapbeállításai</t>
  </si>
  <si>
    <r>
      <t>Legalább az egyik weblap esetén a böngésző keretén megjelenő cím a weboldalnak megfelelően „</t>
    </r>
    <r>
      <rPr>
        <sz val="12"/>
        <color rgb="FF000000"/>
        <rFont val="Times New Roman"/>
        <family val="1"/>
        <charset val="238"/>
      </rPr>
      <t>Garas Dezső</t>
    </r>
    <r>
      <rPr>
        <sz val="12"/>
        <color theme="1"/>
        <rFont val="Times New Roman"/>
        <family val="1"/>
        <charset val="238"/>
      </rPr>
      <t>”, illetve „</t>
    </r>
    <r>
      <rPr>
        <sz val="12"/>
        <color rgb="FF000000"/>
        <rFont val="Times New Roman"/>
        <family val="1"/>
        <charset val="238"/>
      </rPr>
      <t>A Nemzet Színészei</t>
    </r>
    <r>
      <rPr>
        <sz val="12"/>
        <color theme="1"/>
        <rFont val="Times New Roman"/>
        <family val="1"/>
        <charset val="238"/>
      </rPr>
      <t>”</t>
    </r>
  </si>
  <si>
    <t>Legalább az egyik dokumentumban szerkezetileg különválasztotta a tartalmat és a forrást magában foglaló részeket</t>
  </si>
  <si>
    <t>Legalább az egyik részhez a megfelelő osztályt kapcsolta</t>
  </si>
  <si>
    <t>Legalább az egyik dokumentum szövege talpas betűtípusú</t>
  </si>
  <si>
    <r>
      <t>Legalább az egyik osztályra (</t>
    </r>
    <r>
      <rPr>
        <i/>
        <sz val="11"/>
        <color theme="1"/>
        <rFont val="Courier New"/>
        <family val="3"/>
        <charset val="238"/>
      </rPr>
      <t>tartalom,</t>
    </r>
    <r>
      <rPr>
        <sz val="12"/>
        <color theme="1"/>
        <rFont val="Times New Roman"/>
        <family val="1"/>
        <charset val="238"/>
      </rPr>
      <t xml:space="preserve"> </t>
    </r>
    <r>
      <rPr>
        <i/>
        <sz val="11"/>
        <color theme="1"/>
        <rFont val="Courier New"/>
        <family val="3"/>
        <charset val="238"/>
      </rPr>
      <t>forras</t>
    </r>
    <r>
      <rPr>
        <sz val="12"/>
        <color theme="1"/>
        <rFont val="Times New Roman"/>
        <family val="1"/>
        <charset val="238"/>
      </rPr>
      <t>) beállította a 700 képpont szélességet</t>
    </r>
  </si>
  <si>
    <t>Legalább az egyik osztályra beállította a megfelelő háttérszínt és karakterszínt</t>
  </si>
  <si>
    <t>Legalább az egyik osztályra beállította a középre igazítást (Táblázatos megoldás esetén a táblázatot középre igazította)</t>
  </si>
  <si>
    <t>Az előző 8 pontban foglaltak mindegyike teljesül legalább az egyik dokumentumra</t>
  </si>
  <si>
    <t>A fenti beállítások mindkét dokumentumban mindkét osztályra helyesek</t>
  </si>
  <si>
    <r>
      <t xml:space="preserve">Tartalom átmásolása a </t>
    </r>
    <r>
      <rPr>
        <i/>
        <sz val="11"/>
        <color theme="1"/>
        <rFont val="Courier New"/>
        <family val="3"/>
        <charset val="238"/>
      </rPr>
      <t>szoveg.txt</t>
    </r>
    <r>
      <rPr>
        <sz val="12"/>
        <color theme="1"/>
        <rFont val="Times New Roman"/>
        <family val="1"/>
        <charset val="238"/>
      </rPr>
      <t xml:space="preserve"> fájlból, címek és bekezdések kialakítása, formázása</t>
    </r>
  </si>
  <si>
    <t>Legalább az egyik weblapra hiánytalanul másolta át a szöveget</t>
  </si>
  <si>
    <t>Mindkét weblapra átmásolta a megfelelő szöveget</t>
  </si>
  <si>
    <t>Legalább az egyik dokumentumban a címsorok kialakítása a leírásnak megfelel</t>
  </si>
  <si>
    <t>Legalább az egyik dokumentumban a bekezdések kialakítása a mintának megfelel</t>
  </si>
  <si>
    <t>Legalább az egyik dokumentumban a cím alatti bekezdések sorkizártak</t>
  </si>
  <si>
    <t>Legalább az egyik dokumentumban a cím és alcím alatti bekezdések balról behúzottak</t>
  </si>
  <si>
    <t>Mindkét dokumentumban helyesen alakította ki a címsorokat és a bekezdéseket</t>
  </si>
  <si>
    <r>
      <t xml:space="preserve">Az elkészített kép elhelyezése a </t>
    </r>
    <r>
      <rPr>
        <i/>
        <sz val="11"/>
        <color theme="1"/>
        <rFont val="Courier New"/>
        <family val="3"/>
        <charset val="238"/>
      </rPr>
      <t>garas.html</t>
    </r>
    <r>
      <rPr>
        <sz val="12"/>
        <color theme="1"/>
        <rFont val="Times New Roman"/>
        <family val="1"/>
        <charset val="238"/>
      </rPr>
      <t xml:space="preserve"> dokumentumban</t>
    </r>
  </si>
  <si>
    <r>
      <t xml:space="preserve">Az elkészített kép vagy a </t>
    </r>
    <r>
      <rPr>
        <i/>
        <sz val="11"/>
        <color theme="1"/>
        <rFont val="Courier New"/>
        <family val="3"/>
        <charset val="238"/>
      </rPr>
      <t>potkep.jpg</t>
    </r>
    <r>
      <rPr>
        <sz val="12"/>
        <color theme="1"/>
        <rFont val="Times New Roman"/>
        <family val="1"/>
        <charset val="238"/>
      </rPr>
      <t xml:space="preserve"> kép megjelenik a minta szerinti helyen</t>
    </r>
  </si>
  <si>
    <t>A kép a rendelkezésre álló terület teljes szélességét elfoglalja</t>
  </si>
  <si>
    <t>A Garas Dezső képéhez tartozó rész elkészítése</t>
  </si>
  <si>
    <r>
      <t xml:space="preserve">Az elkészített elemnél az </t>
    </r>
    <r>
      <rPr>
        <i/>
        <sz val="11"/>
        <color theme="1"/>
        <rFont val="Courier New"/>
        <family val="3"/>
        <charset val="238"/>
      </rPr>
      <t>adatok</t>
    </r>
    <r>
      <rPr>
        <sz val="12"/>
        <color theme="1"/>
        <rFont val="Times New Roman"/>
        <family val="1"/>
        <charset val="238"/>
      </rPr>
      <t xml:space="preserve"> osztályt használta</t>
    </r>
  </si>
  <si>
    <t>Az elemet a megfelelő helyre illesztette be, teteje a név alatti bekezdéssel van egy vonalban</t>
  </si>
  <si>
    <t>Az elemet jobb oldalra igazította</t>
  </si>
  <si>
    <t>Az elem szélessége 130 képpont</t>
  </si>
  <si>
    <t>Az elem bal oldalán fekete vonal van</t>
  </si>
  <si>
    <t>Az elem bal oldalának szövegtől mért távolsága 15 képpont</t>
  </si>
  <si>
    <t>Az elem tartalma középre igazított</t>
  </si>
  <si>
    <t>A képet beillesztette, szélességét 100 képpontra állította</t>
  </si>
  <si>
    <t>A képnek vékony fehér szegélye van</t>
  </si>
  <si>
    <t>A szöveget begépelte, sorokra tagolása helyes</t>
  </si>
  <si>
    <t>A képekhez tartozó helyettesítő szöveg</t>
  </si>
  <si>
    <r>
      <t>A beszúrt képekhez a megadott helyettesítő szöveget rendelte („</t>
    </r>
    <r>
      <rPr>
        <sz val="12"/>
        <color rgb="FF000000"/>
        <rFont val="Times New Roman"/>
        <family val="1"/>
        <charset val="238"/>
      </rPr>
      <t>Garas Dezső</t>
    </r>
    <r>
      <rPr>
        <sz val="12"/>
        <color theme="1"/>
        <rFont val="Times New Roman"/>
        <family val="1"/>
        <charset val="238"/>
      </rPr>
      <t>”, „</t>
    </r>
    <r>
      <rPr>
        <sz val="12"/>
        <color rgb="FF000000"/>
        <rFont val="Times New Roman"/>
        <family val="1"/>
        <charset val="238"/>
      </rPr>
      <t>Képek Garas filmjeiből</t>
    </r>
    <r>
      <rPr>
        <sz val="12"/>
        <color theme="1"/>
        <rFont val="Times New Roman"/>
        <family val="1"/>
        <charset val="238"/>
      </rPr>
      <t>”)</t>
    </r>
  </si>
  <si>
    <r>
      <t xml:space="preserve">A díjazottak listájának előállítása a </t>
    </r>
    <r>
      <rPr>
        <i/>
        <sz val="11"/>
        <color theme="1"/>
        <rFont val="Courier New"/>
        <family val="3"/>
        <charset val="238"/>
      </rPr>
      <t>dijazottak.html</t>
    </r>
    <r>
      <rPr>
        <sz val="12"/>
        <color theme="1"/>
        <rFont val="Times New Roman"/>
        <family val="1"/>
        <charset val="238"/>
      </rPr>
      <t xml:space="preserve"> dokumentumban</t>
    </r>
  </si>
  <si>
    <t>Számozatlan listát készített</t>
  </si>
  <si>
    <t>Minden név eleme a listának</t>
  </si>
  <si>
    <t>A nevek ábécérendben szerepelnek</t>
  </si>
  <si>
    <t>Nem szerepel az adatok között a születési év</t>
  </si>
  <si>
    <t>A megválasztás éve zárójelben van, a zárójel előtt van szóköz, azon belül viszont nincs</t>
  </si>
  <si>
    <t>Az első díjazottak képét tartalmazó rész formázása</t>
  </si>
  <si>
    <r>
      <t xml:space="preserve">Az </t>
    </r>
    <r>
      <rPr>
        <i/>
        <sz val="11"/>
        <color theme="1"/>
        <rFont val="Courier New"/>
        <family val="3"/>
        <charset val="238"/>
      </rPr>
      <t>elso</t>
    </r>
    <r>
      <rPr>
        <sz val="12"/>
        <color theme="1"/>
        <rFont val="Times New Roman"/>
        <family val="1"/>
        <charset val="238"/>
      </rPr>
      <t xml:space="preserve"> osztályhoz 80% karakterméretet állított be</t>
    </r>
  </si>
  <si>
    <t>A tartalmat középre igazította</t>
  </si>
  <si>
    <t>Az itt szereplő képek szélességét 100 képpontra állította</t>
  </si>
  <si>
    <t>Az itt szereplő képeknek vékony fehér szegélye van</t>
  </si>
  <si>
    <t>Hivatkozások elkészítése</t>
  </si>
  <si>
    <r>
      <t xml:space="preserve">A </t>
    </r>
    <r>
      <rPr>
        <i/>
        <sz val="11"/>
        <color theme="1"/>
        <rFont val="Courier New"/>
        <family val="3"/>
        <charset val="238"/>
      </rPr>
      <t>garas.html</t>
    </r>
    <r>
      <rPr>
        <sz val="12"/>
        <color theme="1"/>
        <rFont val="Times New Roman"/>
        <family val="1"/>
        <charset val="238"/>
      </rPr>
      <t xml:space="preserve"> dokumentumban a hivatkozás helyes</t>
    </r>
  </si>
  <si>
    <r>
      <t xml:space="preserve">A </t>
    </r>
    <r>
      <rPr>
        <i/>
        <sz val="11"/>
        <color theme="1"/>
        <rFont val="Courier New"/>
        <family val="3"/>
        <charset val="238"/>
      </rPr>
      <t>dijazottak.html</t>
    </r>
    <r>
      <rPr>
        <sz val="12"/>
        <color theme="1"/>
        <rFont val="Times New Roman"/>
        <family val="1"/>
        <charset val="238"/>
      </rPr>
      <t xml:space="preserve"> dokumentumban a hivatkozás helyes</t>
    </r>
  </si>
  <si>
    <t>A hivatkozások színe minden állapotban fehér</t>
  </si>
  <si>
    <r>
      <t xml:space="preserve">Vizsgapont: </t>
    </r>
    <r>
      <rPr>
        <i/>
        <sz val="12"/>
        <color theme="1"/>
        <rFont val="Times New Roman"/>
        <family val="1"/>
        <charset val="238"/>
      </rPr>
      <t>feladatpontok 35/49 része lefelé egész számra kerekítve</t>
    </r>
  </si>
  <si>
    <t>1B. Síparadicsomok</t>
  </si>
  <si>
    <t>Az adatok beolvasása</t>
  </si>
  <si>
    <r>
      <t xml:space="preserve">Létezik </t>
    </r>
    <r>
      <rPr>
        <i/>
        <sz val="11"/>
        <color theme="1"/>
        <rFont val="Courier New"/>
        <family val="3"/>
        <charset val="238"/>
      </rPr>
      <t>siparadicsom</t>
    </r>
    <r>
      <rPr>
        <sz val="11"/>
        <color theme="1"/>
        <rFont val="Times New Roman"/>
        <family val="1"/>
        <charset val="238"/>
      </rPr>
      <t xml:space="preserve"> </t>
    </r>
    <r>
      <rPr>
        <sz val="12"/>
        <color theme="1"/>
        <rFont val="Times New Roman"/>
        <family val="1"/>
        <charset val="238"/>
      </rPr>
      <t xml:space="preserve">néven fájl a táblázatkezelő alapértelmezett formátumában, amely a </t>
    </r>
    <r>
      <rPr>
        <i/>
        <sz val="11"/>
        <color theme="1"/>
        <rFont val="Courier New"/>
        <family val="3"/>
        <charset val="238"/>
      </rPr>
      <t xml:space="preserve">siforras.txt </t>
    </r>
    <r>
      <rPr>
        <sz val="12"/>
        <color theme="1"/>
        <rFont val="Times New Roman"/>
        <family val="1"/>
        <charset val="238"/>
      </rPr>
      <t>fájlban lévő adatokat tartalmazza</t>
    </r>
  </si>
  <si>
    <r>
      <t>A betöltött adatokat tartalmazó munkalap neve „</t>
    </r>
    <r>
      <rPr>
        <b/>
        <i/>
        <sz val="12"/>
        <color theme="1"/>
        <rFont val="Times New Roman"/>
        <family val="1"/>
        <charset val="238"/>
      </rPr>
      <t>Alapadatok</t>
    </r>
    <r>
      <rPr>
        <sz val="12"/>
        <color theme="1"/>
        <rFont val="Times New Roman"/>
        <family val="1"/>
        <charset val="238"/>
      </rPr>
      <t>”</t>
    </r>
  </si>
  <si>
    <t>Koordináták radiánban</t>
  </si>
  <si>
    <r>
      <t xml:space="preserve">A </t>
    </r>
    <r>
      <rPr>
        <i/>
        <sz val="12"/>
        <color theme="1"/>
        <rFont val="Times New Roman"/>
        <family val="1"/>
        <charset val="238"/>
      </rPr>
      <t>D</t>
    </r>
    <r>
      <rPr>
        <sz val="12"/>
        <color theme="1"/>
        <rFont val="Times New Roman"/>
        <family val="1"/>
        <charset val="238"/>
      </rPr>
      <t xml:space="preserve"> vagy </t>
    </r>
    <r>
      <rPr>
        <i/>
        <sz val="12"/>
        <color theme="1"/>
        <rFont val="Times New Roman"/>
        <family val="1"/>
        <charset val="238"/>
      </rPr>
      <t>F</t>
    </r>
    <r>
      <rPr>
        <sz val="12"/>
        <color theme="1"/>
        <rFont val="Times New Roman"/>
        <family val="1"/>
        <charset val="238"/>
      </rPr>
      <t xml:space="preserve"> oszlop legalább egy cellájában helyesen határozta meg a szélesség- vagy hosszúságérték radiánját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</si>
  <si>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D3:D357</t>
    </r>
    <r>
      <rPr>
        <sz val="12"/>
        <color theme="1"/>
        <rFont val="Times New Roman"/>
        <family val="1"/>
        <charset val="238"/>
      </rPr>
      <t xml:space="preserve"> és </t>
    </r>
    <r>
      <rPr>
        <i/>
        <sz val="12"/>
        <color theme="1"/>
        <rFont val="Times New Roman"/>
        <family val="1"/>
        <charset val="238"/>
      </rPr>
      <t>F3:F357</t>
    </r>
    <r>
      <rPr>
        <sz val="12"/>
        <color theme="1"/>
        <rFont val="Times New Roman"/>
        <family val="1"/>
        <charset val="238"/>
      </rPr>
      <t xml:space="preserve"> tartomány celláiban helyesen határozta meg a radián értékeket</t>
    </r>
  </si>
  <si>
    <t>Távolságok meghatározása</t>
  </si>
  <si>
    <t>A fentiekből legalább négy helyes</t>
  </si>
  <si>
    <t>A fentiekből mindegyik helyes</t>
  </si>
  <si>
    <r>
      <t xml:space="preserve">A teljes képletet helyesen írta be a </t>
    </r>
    <r>
      <rPr>
        <i/>
        <sz val="12"/>
        <color theme="1"/>
        <rFont val="Times New Roman"/>
        <family val="1"/>
        <charset val="238"/>
      </rPr>
      <t>G3:G357</t>
    </r>
    <r>
      <rPr>
        <sz val="12"/>
        <color theme="1"/>
        <rFont val="Times New Roman"/>
        <family val="1"/>
        <charset val="238"/>
      </rPr>
      <t xml:space="preserve"> tartomány összes cellájában</t>
    </r>
  </si>
  <si>
    <t>Sípályák száma</t>
  </si>
  <si>
    <r>
      <t xml:space="preserve">Az </t>
    </r>
    <r>
      <rPr>
        <i/>
        <sz val="12"/>
        <color theme="1"/>
        <rFont val="Times New Roman"/>
        <family val="1"/>
        <charset val="238"/>
      </rPr>
      <t>N3:N357</t>
    </r>
    <r>
      <rPr>
        <sz val="12"/>
        <color theme="1"/>
        <rFont val="Times New Roman"/>
        <family val="1"/>
        <charset val="238"/>
      </rPr>
      <t xml:space="preserve"> tartomány celláiban helyesen határozta meg a sípályák számát</t>
    </r>
  </si>
  <si>
    <t>A nyári hónapokban nyitva tartó síparadicsomok</t>
  </si>
  <si>
    <r>
      <t xml:space="preserve">A Szezon oszlop adatai alapján képlettel meghatározta, hogy legalább egy nyári hónap szerepel-e a </t>
    </r>
    <r>
      <rPr>
        <i/>
        <sz val="12"/>
        <color theme="1"/>
        <rFont val="Times New Roman"/>
        <family val="1"/>
        <charset val="238"/>
      </rPr>
      <t>H</t>
    </r>
    <r>
      <rPr>
        <sz val="12"/>
        <color theme="1"/>
        <rFont val="Times New Roman"/>
        <family val="1"/>
        <charset val="238"/>
      </rPr>
      <t xml:space="preserve"> oszlop celláiban</t>
    </r>
  </si>
  <si>
    <r>
      <t xml:space="preserve">A Szezon oszlop adatai alapján képlettel meghatározta, hogy a nyári hónapok szerepelnek-e a </t>
    </r>
    <r>
      <rPr>
        <i/>
        <sz val="12"/>
        <color theme="1"/>
        <rFont val="Times New Roman"/>
        <family val="1"/>
        <charset val="238"/>
      </rPr>
      <t>H</t>
    </r>
    <r>
      <rPr>
        <sz val="12"/>
        <color theme="1"/>
        <rFont val="Times New Roman"/>
        <family val="1"/>
        <charset val="238"/>
      </rPr>
      <t xml:space="preserve"> oszlop celláiban, és helyesen kezelte, ha nem szerepeltek</t>
    </r>
  </si>
  <si>
    <r>
      <t>Helyesen kezelte azokat a cellákat, ahol az „</t>
    </r>
    <r>
      <rPr>
        <b/>
        <i/>
        <sz val="10"/>
        <color theme="1"/>
        <rFont val="Times New Roman"/>
        <family val="1"/>
        <charset val="238"/>
      </rPr>
      <t>Egész évben</t>
    </r>
    <r>
      <rPr>
        <sz val="12"/>
        <color theme="1"/>
        <rFont val="Times New Roman"/>
        <family val="1"/>
        <charset val="238"/>
      </rPr>
      <t>” szöveg szerepelt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</si>
  <si>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P3:P357</t>
    </r>
    <r>
      <rPr>
        <sz val="12"/>
        <color theme="1"/>
        <rFont val="Times New Roman"/>
        <family val="1"/>
        <charset val="238"/>
      </rPr>
      <t xml:space="preserve"> tartomány celláiban az „</t>
    </r>
    <r>
      <rPr>
        <sz val="12"/>
        <color rgb="FF000000"/>
        <rFont val="Times New Roman"/>
        <family val="1"/>
        <charset val="238"/>
      </rPr>
      <t>Igen</t>
    </r>
    <r>
      <rPr>
        <sz val="12"/>
        <color theme="1"/>
        <rFont val="Times New Roman"/>
        <family val="1"/>
        <charset val="238"/>
      </rPr>
      <t>”, különben pedig a „</t>
    </r>
    <r>
      <rPr>
        <sz val="12"/>
        <color rgb="FF000000"/>
        <rFont val="Times New Roman"/>
        <family val="1"/>
        <charset val="238"/>
      </rPr>
      <t>Nem</t>
    </r>
    <r>
      <rPr>
        <sz val="12"/>
        <color theme="1"/>
        <rFont val="Times New Roman"/>
        <family val="1"/>
        <charset val="238"/>
      </rPr>
      <t>” szót jelenítette meg, ha a „</t>
    </r>
    <r>
      <rPr>
        <b/>
        <i/>
        <sz val="12"/>
        <color theme="1"/>
        <rFont val="Times New Roman"/>
        <family val="1"/>
        <charset val="238"/>
      </rPr>
      <t>Jún</t>
    </r>
    <r>
      <rPr>
        <sz val="12"/>
        <color theme="1"/>
        <rFont val="Times New Roman"/>
        <family val="1"/>
        <charset val="238"/>
      </rPr>
      <t>”, „</t>
    </r>
    <r>
      <rPr>
        <b/>
        <i/>
        <sz val="12"/>
        <color theme="1"/>
        <rFont val="Times New Roman"/>
        <family val="1"/>
        <charset val="238"/>
      </rPr>
      <t>Júl</t>
    </r>
    <r>
      <rPr>
        <sz val="12"/>
        <color theme="1"/>
        <rFont val="Times New Roman"/>
        <family val="1"/>
        <charset val="238"/>
      </rPr>
      <t>”, „</t>
    </r>
    <r>
      <rPr>
        <b/>
        <i/>
        <sz val="12"/>
        <color theme="1"/>
        <rFont val="Times New Roman"/>
        <family val="1"/>
        <charset val="238"/>
      </rPr>
      <t>Aug</t>
    </r>
    <r>
      <rPr>
        <sz val="12"/>
        <color theme="1"/>
        <rFont val="Times New Roman"/>
        <family val="1"/>
        <charset val="238"/>
      </rPr>
      <t xml:space="preserve">” hónapok valamelyike szerepelt a </t>
    </r>
    <r>
      <rPr>
        <i/>
        <sz val="12"/>
        <color theme="1"/>
        <rFont val="Times New Roman"/>
        <family val="1"/>
        <charset val="238"/>
      </rPr>
      <t>H3:H357</t>
    </r>
    <r>
      <rPr>
        <sz val="12"/>
        <color theme="1"/>
        <rFont val="Times New Roman"/>
        <family val="1"/>
        <charset val="238"/>
      </rPr>
      <t xml:space="preserve"> tartomány celláiban</t>
    </r>
  </si>
  <si>
    <r>
      <t>Ha a síparadicsom valamikor nyitva volt a nyári időszakban, akkor az „</t>
    </r>
    <r>
      <rPr>
        <sz val="12"/>
        <color rgb="FF000000"/>
        <rFont val="Times New Roman"/>
        <family val="1"/>
        <charset val="238"/>
      </rPr>
      <t>Igen</t>
    </r>
    <r>
      <rPr>
        <sz val="12"/>
        <color theme="1"/>
        <rFont val="Times New Roman"/>
        <family val="1"/>
        <charset val="238"/>
      </rPr>
      <t>” szót, különben pedig a „</t>
    </r>
    <r>
      <rPr>
        <sz val="12"/>
        <color rgb="FF000000"/>
        <rFont val="Times New Roman"/>
        <family val="1"/>
        <charset val="238"/>
      </rPr>
      <t>Nem</t>
    </r>
    <r>
      <rPr>
        <sz val="12"/>
        <color theme="1"/>
        <rFont val="Times New Roman"/>
        <family val="1"/>
        <charset val="238"/>
      </rPr>
      <t xml:space="preserve">” szót jelenítette meg a </t>
    </r>
    <r>
      <rPr>
        <i/>
        <sz val="12"/>
        <color theme="1"/>
        <rFont val="Times New Roman"/>
        <family val="1"/>
        <charset val="238"/>
      </rPr>
      <t>P3:P357</t>
    </r>
    <r>
      <rPr>
        <sz val="16"/>
        <color theme="1"/>
        <rFont val="Times New Roman"/>
        <family val="1"/>
        <charset val="238"/>
      </rPr>
      <t xml:space="preserve"> </t>
    </r>
    <r>
      <rPr>
        <sz val="12"/>
        <color theme="1"/>
        <rFont val="Times New Roman"/>
        <family val="1"/>
        <charset val="238"/>
      </rPr>
      <t>tartomány celláiban</t>
    </r>
  </si>
  <si>
    <t>Budapesthez legközelebbi síparadicsom</t>
  </si>
  <si>
    <r>
      <t xml:space="preserve">A </t>
    </r>
    <r>
      <rPr>
        <i/>
        <sz val="12"/>
        <color theme="1"/>
        <rFont val="Times New Roman"/>
        <family val="1"/>
        <charset val="238"/>
      </rPr>
      <t>T4</t>
    </r>
    <r>
      <rPr>
        <sz val="12"/>
        <color theme="1"/>
        <rFont val="Times New Roman"/>
        <family val="1"/>
        <charset val="238"/>
      </rPr>
      <t>-es cellában képlettel meghatározta a Budapesttől való távolságértékek közül a legkisebbet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</si>
  <si>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S4</t>
    </r>
    <r>
      <rPr>
        <sz val="12"/>
        <color theme="1"/>
        <rFont val="Times New Roman"/>
        <family val="1"/>
        <charset val="238"/>
      </rPr>
      <t>-es cellában képlet segítségével meghatározta a Budapesthez legközelebb lévő síparadicsom nevét</t>
    </r>
  </si>
  <si>
    <t>Legmagasabb pont meghatározása</t>
  </si>
  <si>
    <r>
      <t xml:space="preserve">A </t>
    </r>
    <r>
      <rPr>
        <i/>
        <sz val="12"/>
        <color theme="1"/>
        <rFont val="Times New Roman"/>
        <family val="1"/>
        <charset val="238"/>
      </rPr>
      <t>T5</t>
    </r>
    <r>
      <rPr>
        <sz val="12"/>
        <color theme="1"/>
        <rFont val="Times New Roman"/>
        <family val="1"/>
        <charset val="238"/>
      </rPr>
      <t>-ös cellában képlet segítségével meghatározta a legmagasabb pont értékét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</si>
  <si>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S5</t>
    </r>
    <r>
      <rPr>
        <sz val="12"/>
        <color theme="1"/>
        <rFont val="Times New Roman"/>
        <family val="1"/>
        <charset val="238"/>
      </rPr>
      <t>-ös cellában képlet segítségével meghatározta, hogy a legmagasabb pont melyik síparadicsomban van</t>
    </r>
  </si>
  <si>
    <t>Síparadicsomok száma az adott országban</t>
  </si>
  <si>
    <r>
      <t xml:space="preserve">A </t>
    </r>
    <r>
      <rPr>
        <i/>
        <sz val="12"/>
        <color theme="1"/>
        <rFont val="Times New Roman"/>
        <family val="1"/>
        <charset val="238"/>
      </rPr>
      <t>T6</t>
    </r>
    <r>
      <rPr>
        <sz val="12"/>
        <color theme="1"/>
        <rFont val="Times New Roman"/>
        <family val="1"/>
        <charset val="238"/>
      </rPr>
      <t xml:space="preserve">-os cellában képlet segítségével meghatározta, hogy az </t>
    </r>
    <r>
      <rPr>
        <i/>
        <sz val="12"/>
        <color theme="1"/>
        <rFont val="Times New Roman"/>
        <family val="1"/>
        <charset val="238"/>
      </rPr>
      <t>S6</t>
    </r>
    <r>
      <rPr>
        <sz val="12"/>
        <color theme="1"/>
        <rFont val="Times New Roman"/>
        <family val="1"/>
        <charset val="238"/>
      </rPr>
      <t xml:space="preserve"> cellába beírt országban hány síparadicsom van</t>
    </r>
  </si>
  <si>
    <t>Olaszországi síparadicsomok szűrése, adatok rendezése és feltételes formázása</t>
  </si>
  <si>
    <r>
      <t xml:space="preserve">Az adatokat az </t>
    </r>
    <r>
      <rPr>
        <i/>
        <sz val="12"/>
        <color theme="1"/>
        <rFont val="Times New Roman"/>
        <family val="1"/>
        <charset val="238"/>
      </rPr>
      <t>A1</t>
    </r>
    <r>
      <rPr>
        <sz val="12"/>
        <color theme="1"/>
        <rFont val="Times New Roman"/>
        <family val="1"/>
        <charset val="238"/>
      </rPr>
      <t>-es cellától töltötte be, az oszlopfejlécneveket tartalmazó cellákat is másolta, és a munkalap neve „</t>
    </r>
    <r>
      <rPr>
        <sz val="12"/>
        <color rgb="FF000000"/>
        <rFont val="Times New Roman"/>
        <family val="1"/>
        <charset val="238"/>
      </rPr>
      <t>Olaszország</t>
    </r>
    <r>
      <rPr>
        <sz val="12"/>
        <color theme="1"/>
        <rFont val="Times New Roman"/>
        <family val="1"/>
        <charset val="238"/>
      </rPr>
      <t>”</t>
    </r>
  </si>
  <si>
    <r>
      <t xml:space="preserve">Az adatokat a </t>
    </r>
    <r>
      <rPr>
        <i/>
        <sz val="12"/>
        <color theme="1"/>
        <rFont val="Times New Roman"/>
        <family val="1"/>
        <charset val="238"/>
      </rPr>
      <t>G</t>
    </r>
    <r>
      <rPr>
        <sz val="12"/>
        <color theme="1"/>
        <rFont val="Times New Roman"/>
        <family val="1"/>
        <charset val="238"/>
      </rPr>
      <t xml:space="preserve"> oszlop adatai szerint növekvő sorrendbe rendezte</t>
    </r>
  </si>
  <si>
    <r>
      <t xml:space="preserve">Feltételes formázást állított be az </t>
    </r>
    <r>
      <rPr>
        <i/>
        <sz val="12"/>
        <color theme="1"/>
        <rFont val="Times New Roman"/>
        <family val="1"/>
        <charset val="238"/>
      </rPr>
      <t>I</t>
    </r>
    <r>
      <rPr>
        <sz val="12"/>
        <color theme="1"/>
        <rFont val="Times New Roman"/>
        <family val="1"/>
        <charset val="238"/>
      </rPr>
      <t xml:space="preserve"> oszlop adataira, és a feltételnek megfelelő adatok cellái világoskék kitöltőszínnel jelennek meg</t>
    </r>
  </si>
  <si>
    <t>A feltételes formázást 3000 m-re vagy annál nagyobb értékekre állította be</t>
  </si>
  <si>
    <t>Sávdiagram készítése</t>
  </si>
  <si>
    <t>Halmozott sávdiagramot készített külön munkalapra az olaszországi síparadicsomok sípályáinak számáról</t>
  </si>
  <si>
    <r>
      <t>A diagram címe „</t>
    </r>
    <r>
      <rPr>
        <sz val="12"/>
        <color rgb="FF000000"/>
        <rFont val="Times New Roman"/>
        <family val="1"/>
        <charset val="238"/>
      </rPr>
      <t>Sípályák száma az olasz síparadicsomokban</t>
    </r>
    <r>
      <rPr>
        <sz val="12"/>
        <color theme="1"/>
        <rFont val="Times New Roman"/>
        <family val="1"/>
        <charset val="238"/>
      </rPr>
      <t>”, és a diagramhoz jelmagyarázat tartozik</t>
    </r>
  </si>
  <si>
    <t>Az y tengelyen a síparadicsomok neve megjelenik</t>
  </si>
  <si>
    <t>A kezdő pályákat kék, a közepes pályákat vörös, a nehéz pályákat fekete színnel jelölte</t>
  </si>
  <si>
    <t>Táblázatok formázása</t>
  </si>
  <si>
    <r>
      <t xml:space="preserve">Az </t>
    </r>
    <r>
      <rPr>
        <b/>
        <sz val="12"/>
        <color theme="1"/>
        <rFont val="Times New Roman"/>
        <family val="1"/>
        <charset val="238"/>
      </rPr>
      <t>Alapadatok</t>
    </r>
    <r>
      <rPr>
        <sz val="12"/>
        <color theme="1"/>
        <rFont val="Times New Roman"/>
        <family val="1"/>
        <charset val="238"/>
      </rPr>
      <t xml:space="preserve"> munkalapon az </t>
    </r>
    <r>
      <rPr>
        <i/>
        <sz val="12"/>
        <color theme="1"/>
        <rFont val="Times New Roman"/>
        <family val="1"/>
        <charset val="238"/>
      </rPr>
      <t>R4:T6</t>
    </r>
    <r>
      <rPr>
        <sz val="12"/>
        <color theme="1"/>
        <rFont val="Times New Roman"/>
        <family val="1"/>
        <charset val="238"/>
      </rPr>
      <t xml:space="preserve"> cellatartományt belül vékony, körül vastag vonallal szegélyezte, és minden adat látható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</si>
  <si>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T4</t>
    </r>
    <r>
      <rPr>
        <sz val="12"/>
        <color theme="1"/>
        <rFont val="Times New Roman"/>
        <family val="1"/>
        <charset val="238"/>
      </rPr>
      <t>-escellában két tizedesjegyes megjelenítést állított be</t>
    </r>
  </si>
  <si>
    <t>A „db”, a „m” és a „km” mértékegységeket beállította</t>
  </si>
  <si>
    <t>A fentiek közül legalább hat helyes</t>
  </si>
  <si>
    <t>A fentiek közül legalább kilenc helyes</t>
  </si>
  <si>
    <t>A fentiek közül legalább tizenegy helyes</t>
  </si>
  <si>
    <t>A G oszlop legalább egy cellájának képletébe a következők igazak:
	Budapest koordinátáit megfelelően rögzítette a hivatkozásnál
	a képletben az ARCCOS értéket 6371-gyel szorozta
	a képletben a szélességi értékek szinuszát összeszorozta
	a képletben a szélességi értékek koszinuszát összeszorozta
	a képletben a hosszúsági értékek különbségének koszinuszát vette
A fentiekből legalább kettő helyes</t>
  </si>
  <si>
    <r>
      <t>Vizsgapont:</t>
    </r>
    <r>
      <rPr>
        <sz val="12"/>
        <color theme="1"/>
        <rFont val="Times New Roman"/>
        <family val="1"/>
        <charset val="238"/>
      </rPr>
      <t xml:space="preserve"> </t>
    </r>
    <r>
      <rPr>
        <i/>
        <sz val="12"/>
        <color theme="1"/>
        <rFont val="Times New Roman"/>
        <family val="1"/>
        <charset val="238"/>
      </rPr>
      <t>feladatpont 35/40 része lefelé egész számra kerekítve</t>
    </r>
  </si>
  <si>
    <t>2. Nyílt nap</t>
  </si>
  <si>
    <r>
      <t xml:space="preserve">Létrehozta a feladatok végén zárójelben megadott nevű és </t>
    </r>
    <r>
      <rPr>
        <i/>
        <sz val="11"/>
        <color theme="1"/>
        <rFont val="Courier New"/>
        <family val="3"/>
        <charset val="238"/>
      </rPr>
      <t>.sql</t>
    </r>
    <r>
      <rPr>
        <sz val="12"/>
        <color theme="1"/>
        <rFont val="Times New Roman"/>
        <family val="1"/>
        <charset val="238"/>
      </rPr>
      <t xml:space="preserve"> kiterjesztésű szöveges állományokat</t>
    </r>
  </si>
  <si>
    <t>Egyetlen elmentett lekérdezésben sem szerepel a feladat által nem kért mező</t>
  </si>
  <si>
    <r>
      <t>2barnamalom</t>
    </r>
    <r>
      <rPr>
        <sz val="12"/>
        <color theme="1"/>
        <rFont val="Times New Roman"/>
        <family val="1"/>
        <charset val="238"/>
      </rPr>
      <t xml:space="preserve"> lekérdezés</t>
    </r>
  </si>
  <si>
    <t>A diákok neve megjelenik</t>
  </si>
  <si>
    <r>
      <t>A szűrés helyes a „</t>
    </r>
    <r>
      <rPr>
        <b/>
        <i/>
        <sz val="12"/>
        <color theme="1"/>
        <rFont val="Times New Roman"/>
        <family val="1"/>
        <charset val="238"/>
      </rPr>
      <t>Barnamalom</t>
    </r>
    <r>
      <rPr>
        <i/>
        <sz val="12"/>
        <color theme="1"/>
        <rFont val="Times New Roman"/>
        <family val="1"/>
        <charset val="238"/>
      </rPr>
      <t>”</t>
    </r>
    <r>
      <rPr>
        <sz val="12"/>
        <color theme="1"/>
        <rFont val="Times New Roman"/>
        <family val="1"/>
        <charset val="238"/>
      </rPr>
      <t xml:space="preserve"> településnévre</t>
    </r>
  </si>
  <si>
    <r>
      <t>3angol</t>
    </r>
    <r>
      <rPr>
        <sz val="12"/>
        <color theme="1"/>
        <rFont val="Times New Roman"/>
        <family val="1"/>
        <charset val="238"/>
      </rPr>
      <t xml:space="preserve"> lekérdezés</t>
    </r>
  </si>
  <si>
    <t>Megjelenik a dátum, a terem neve és az óra sorszáma</t>
  </si>
  <si>
    <r>
      <t>A szűrés helyes az „</t>
    </r>
    <r>
      <rPr>
        <b/>
        <i/>
        <sz val="12"/>
        <color theme="1"/>
        <rFont val="Times New Roman"/>
        <family val="1"/>
        <charset val="238"/>
      </rPr>
      <t>angol</t>
    </r>
    <r>
      <rPr>
        <i/>
        <sz val="12"/>
        <color theme="1"/>
        <rFont val="Times New Roman"/>
        <family val="1"/>
        <charset val="238"/>
      </rPr>
      <t>”</t>
    </r>
    <r>
      <rPr>
        <sz val="12"/>
        <color theme="1"/>
        <rFont val="Times New Roman"/>
        <family val="1"/>
        <charset val="238"/>
      </rPr>
      <t xml:space="preserve"> tantárgyra</t>
    </r>
  </si>
  <si>
    <t>Legalább az egyik rendezés helyes</t>
  </si>
  <si>
    <t>Mindkét rendezés és a rendezések sorrendje helyes</t>
  </si>
  <si>
    <r>
      <t>4matfiz</t>
    </r>
    <r>
      <rPr>
        <sz val="12"/>
        <color theme="1"/>
        <rFont val="Times New Roman"/>
        <family val="1"/>
        <charset val="238"/>
      </rPr>
      <t xml:space="preserve"> lekérdezés</t>
    </r>
  </si>
  <si>
    <t>Megjelenik a csoport, a tantárgy és a dátum, valamint helyesen szűr a 9. évfolyamra</t>
  </si>
  <si>
    <t>Helyesen szűr az egyik tantárgyra, és az évfolyamra szűréssel helyes a kapcsolata</t>
  </si>
  <si>
    <t>A teljes szűrési feltétel helyes</t>
  </si>
  <si>
    <t>Növekvő sorrendbe rendez a tantárgy neve szerint</t>
  </si>
  <si>
    <r>
      <t>5telepulesfo</t>
    </r>
    <r>
      <rPr>
        <sz val="12"/>
        <color theme="1"/>
        <rFont val="Times New Roman"/>
        <family val="1"/>
        <charset val="238"/>
      </rPr>
      <t xml:space="preserve"> lekérdezés</t>
    </r>
  </si>
  <si>
    <t>Megjelenik a települések neve és a diákok száma számított értékként</t>
  </si>
  <si>
    <t>Csoportosít a települések neve szerint</t>
  </si>
  <si>
    <t>Függvény segítségével meghatározta a diákok számát</t>
  </si>
  <si>
    <t>Csökkenő sorrendbe rendezett a diákok száma szerint</t>
  </si>
  <si>
    <r>
      <t>6tantargyak</t>
    </r>
    <r>
      <rPr>
        <sz val="12"/>
        <color theme="1"/>
        <rFont val="Times New Roman"/>
        <family val="1"/>
        <charset val="238"/>
      </rPr>
      <t xml:space="preserve"> lekérdezés</t>
    </r>
  </si>
  <si>
    <t>Megjelenik a tantárgyak neve</t>
  </si>
  <si>
    <t>Minden tantárgy neve csak egyszer jelenik meg</t>
  </si>
  <si>
    <t>Növekvő sorrendbe rendez a tantárgyak neve szerint</t>
  </si>
  <si>
    <r>
      <t>7angolanna</t>
    </r>
    <r>
      <rPr>
        <sz val="12"/>
        <color theme="1"/>
        <rFont val="Times New Roman"/>
        <family val="1"/>
        <charset val="238"/>
      </rPr>
      <t xml:space="preserve"> lekérdezés</t>
    </r>
  </si>
  <si>
    <t>Megjelenik a név, az e-mail-cím és a telefonszám</t>
  </si>
  <si>
    <t>Helyesen szűr a tanár nevére vagy a dátumra</t>
  </si>
  <si>
    <t>A tanár nevére és a dátumra is helyesen szűr, a szűrési feltételek kapcsolata helyes</t>
  </si>
  <si>
    <t>Mindhárom táblát használta, és a táblák kapcsolata helyes</t>
  </si>
  <si>
    <r>
      <t>8majer</t>
    </r>
    <r>
      <rPr>
        <sz val="12"/>
        <color theme="1"/>
        <rFont val="Times New Roman"/>
        <family val="1"/>
        <charset val="238"/>
      </rPr>
      <t xml:space="preserve"> lekérdezés</t>
    </r>
  </si>
  <si>
    <t>Megjelenik a diákok neve</t>
  </si>
  <si>
    <t>Helyesen választja ki azt a települést, ahol Majer Melinda lakik</t>
  </si>
  <si>
    <t>Helyesen választja ki azokat a tanulókat, akik Majer Melindával egy településen laknak</t>
  </si>
  <si>
    <r>
      <t>A megjelenített nevek közül kizárta a „</t>
    </r>
    <r>
      <rPr>
        <b/>
        <i/>
        <sz val="12"/>
        <color theme="1"/>
        <rFont val="Times New Roman"/>
        <family val="1"/>
        <charset val="238"/>
      </rPr>
      <t>Majer Melinda</t>
    </r>
    <r>
      <rPr>
        <sz val="12"/>
        <color theme="1"/>
        <rFont val="Times New Roman"/>
        <family val="1"/>
        <charset val="238"/>
      </rPr>
      <t>” nevet</t>
    </r>
  </si>
  <si>
    <r>
      <t>9szabad</t>
    </r>
    <r>
      <rPr>
        <sz val="12"/>
        <color theme="1"/>
        <rFont val="Times New Roman"/>
        <family val="1"/>
        <charset val="238"/>
      </rPr>
      <t xml:space="preserve"> lekérdezés</t>
    </r>
  </si>
  <si>
    <t>Megjelenik a dátum, az óra sorszáma, a tantárgy, a tanár neve és egy számított mező</t>
  </si>
  <si>
    <t>A táblák kapcsolata helyes</t>
  </si>
  <si>
    <t>A minta szerinti sorrendben jelennek meg az oszlopok</t>
  </si>
  <si>
    <t>Helyesen számolta ki az egyes órákon a szabad helyek számát</t>
  </si>
  <si>
    <t>Csak a szabad hellyel rendelkező órák adatai jelennek meg</t>
  </si>
  <si>
    <r>
      <t>A „</t>
    </r>
    <r>
      <rPr>
        <sz val="12"/>
        <color rgb="FF000000"/>
        <rFont val="Times New Roman"/>
        <family val="1"/>
        <charset val="238"/>
      </rPr>
      <t>szabad</t>
    </r>
    <r>
      <rPr>
        <sz val="12"/>
        <color theme="1"/>
        <rFont val="Times New Roman"/>
        <family val="1"/>
        <charset val="238"/>
      </rPr>
      <t>” felirat jelenik meg a számított adatokat tartalmazó oszlop felett</t>
    </r>
  </si>
  <si>
    <t>Az adatok a szabad helyek száma szerint csökkenő sorrendben jelennek meg</t>
  </si>
  <si>
    <t>Összesen:</t>
  </si>
  <si>
    <t>3. Könyvkiadás</t>
  </si>
  <si>
    <r>
      <t xml:space="preserve">Létezik a program </t>
    </r>
    <r>
      <rPr>
        <i/>
        <sz val="11"/>
        <color theme="1"/>
        <rFont val="Courier New"/>
        <family val="3"/>
        <charset val="238"/>
      </rPr>
      <t>konyvek</t>
    </r>
    <r>
      <rPr>
        <sz val="12"/>
        <color theme="1"/>
        <rFont val="Times New Roman"/>
        <family val="1"/>
        <charset val="238"/>
      </rPr>
      <t xml:space="preserve"> néven</t>
    </r>
  </si>
  <si>
    <t>Van olyan képernyőre írást igénylő megoldása, amelynél megjelenítette a feladat sorszámát, és – ha kellett – utalt a felhasználótól bekért tartalomra</t>
  </si>
  <si>
    <t>Minden képernyőre írást igénylő megoldott feladatnál megjelenítette a sorszámot</t>
  </si>
  <si>
    <r>
      <t>Megnyitotta a </t>
    </r>
    <r>
      <rPr>
        <i/>
        <sz val="11"/>
        <color theme="1"/>
        <rFont val="Courier New"/>
        <family val="3"/>
        <charset val="238"/>
      </rPr>
      <t>kiadas.txt</t>
    </r>
    <r>
      <rPr>
        <sz val="12"/>
        <color theme="1"/>
        <rFont val="Times New Roman"/>
        <family val="1"/>
        <charset val="238"/>
      </rPr>
      <t xml:space="preserve"> vagy a </t>
    </r>
    <r>
      <rPr>
        <i/>
        <sz val="11"/>
        <color theme="1"/>
        <rFont val="Courier New"/>
        <family val="3"/>
        <charset val="238"/>
      </rPr>
      <t>kiadas2.txt</t>
    </r>
    <r>
      <rPr>
        <sz val="12"/>
        <color theme="1"/>
        <rFont val="Times New Roman"/>
        <family val="1"/>
        <charset val="238"/>
      </rPr>
      <t xml:space="preserve"> állományt, és legalább egy adatsort beolvasott</t>
    </r>
  </si>
  <si>
    <t>Az összes adatot beolvasta az állományból, és eltárolta a későbbi feldolgozáshoz alkalmas módon</t>
  </si>
  <si>
    <t>A kiadások számának meghatározása a bekért szerzőtől</t>
  </si>
  <si>
    <t>Bekérte egy szerző nevét</t>
  </si>
  <si>
    <t>Legalább egy kiadás esetében megállapította, hogy a szerző neve szerepel-e a leírásban</t>
  </si>
  <si>
    <t>Minden kiadás esetében megállapította, hogy a szerző neve szerepel-e a leírásban</t>
  </si>
  <si>
    <t>Megszámolta, hogy hány alkalommal adtak ki a szerzőtől könyvet</t>
  </si>
  <si>
    <t>Tartalmilag a mintának megfelelően megjelenítette a kiadások számát</t>
  </si>
  <si>
    <r>
      <t>Megjelenítette a „</t>
    </r>
    <r>
      <rPr>
        <i/>
        <sz val="12"/>
        <color rgb="FF000000"/>
        <rFont val="Times New Roman"/>
        <family val="1"/>
        <charset val="238"/>
      </rPr>
      <t>Nem adtak ki</t>
    </r>
    <r>
      <rPr>
        <sz val="12"/>
        <color theme="1"/>
        <rFont val="Times New Roman"/>
        <family val="1"/>
        <charset val="238"/>
      </rPr>
      <t>” szöveget, amennyiben a szerző neve nem szerepel az adatok között</t>
    </r>
  </si>
  <si>
    <t>A legnagyobb példányszám megállapítása</t>
  </si>
  <si>
    <t>Megállapította a legnagyobb példányszámú kiadás példányszámát</t>
  </si>
  <si>
    <t>Meghatározta, hogy a kapott példányszám hány kiadásnál fordult elő</t>
  </si>
  <si>
    <t>Megjelenítette a példányszámot és az előfordulást</t>
  </si>
  <si>
    <t>Az első legalább 40 000 példányban kiadott külföldi könyv megkeresése</t>
  </si>
  <si>
    <t>Legalább egy kiadás esetében megvizsgálta, hogy a könyv külföldi-e vagy azt, hogy legalább 40 000 példányban adták-e ki</t>
  </si>
  <si>
    <t>Legalább egy kiadás esetében megvizsgálta, hogy a könyv külföldi-e és legalább 40 000 példányban adták-e ki</t>
  </si>
  <si>
    <t>Kereste a könyvek között a legelső olyan külföldi könyvet, amelyet legalább 40 000 példányban kiadtak</t>
  </si>
  <si>
    <t>Megtalálta és megjelenítette a keresett évet, negyedévet és a könyv leírását</t>
  </si>
  <si>
    <t>A kiírás formátuma megfelelő: az évszám után perjel következik, a negyedév után pont áll</t>
  </si>
  <si>
    <t>A statisztika elkészítése az évekről</t>
  </si>
  <si>
    <t>Legalább egy év esetében megállapította, hogy hány alkalommal adtak ki magyar szerzőtől könyvet</t>
  </si>
  <si>
    <t>Mind a négy év esetében megállapította, hogy hány alkalommal adtak ki magyar szerzőtől könyvet</t>
  </si>
  <si>
    <t>Legalább egy év esetében összegezte a magyar szerzők könyveinek darabszámát</t>
  </si>
  <si>
    <t>Mind a négy év esetében összegezte a magyar szerzők könyveinek darabszámát</t>
  </si>
  <si>
    <t>Legalább egy év esetében megállapította, hogy hány alkalommal adtak ki külföldi szerzőtől könyvet</t>
  </si>
  <si>
    <t>Mind a négy év esetében megállapította, hogy hány alkalommal adtak ki külföldi szerzőtől könyvet</t>
  </si>
  <si>
    <t>Legalább egy év esetében összegezte a külföldi szerzők könyveinek darabszámát</t>
  </si>
  <si>
    <t>Mind a négy év esetében összegezte a külföldi szerzők könyveinek darabszámát</t>
  </si>
  <si>
    <t>Az eredmények kiírását egy magyarázó fejléc megjelenítése előzi meg, a fejléc szövege tartalmilag helyes</t>
  </si>
  <si>
    <t>Az eredményeket táblázatos formában jeleníti meg, egy év adatai egy sorban vannak, az egymás alatti számok egy oszlopban kezdődnek vagy végződnek</t>
  </si>
  <si>
    <r>
      <t xml:space="preserve">A program létrehozta a </t>
    </r>
    <r>
      <rPr>
        <i/>
        <sz val="11"/>
        <color theme="1"/>
        <rFont val="Courier New"/>
        <family val="3"/>
        <charset val="238"/>
      </rPr>
      <t>tabla.html</t>
    </r>
    <r>
      <rPr>
        <sz val="12"/>
        <color theme="1"/>
        <rFont val="Times New Roman"/>
        <family val="1"/>
        <charset val="238"/>
      </rPr>
      <t xml:space="preserve"> szöveges állományt, és abban legalább egy üres HTML-táblázat szerepel: </t>
    </r>
    <r>
      <rPr>
        <sz val="9"/>
        <color rgb="FF000000"/>
        <rFont val="Courier New"/>
        <family val="3"/>
        <charset val="238"/>
      </rPr>
      <t>&lt;table&gt;&lt;/table&gt;</t>
    </r>
  </si>
  <si>
    <r>
      <t xml:space="preserve">A program a szöveges állományba írt egy helyes HTML-táblázatot, amely legalább egy sort és egy oszlopot tartalmaz: </t>
    </r>
    <r>
      <rPr>
        <sz val="9"/>
        <color rgb="FF000000"/>
        <rFont val="Courier New"/>
        <family val="3"/>
        <charset val="238"/>
      </rPr>
      <t>&lt;table&gt;&lt;tr&gt;&lt;td&gt;&lt;/td&gt;&lt;/tr&gt;&lt;/table&gt;</t>
    </r>
  </si>
  <si>
    <t>A program a szöveges állományba írt egy ötoszlopos táblázatot</t>
  </si>
  <si>
    <t>A program a szöveges állományba írta a négy év adatait, az adatok évenként külön sorokban, megfelelő cellákban szerepelnek</t>
  </si>
  <si>
    <r>
      <t>A program a</t>
    </r>
    <r>
      <rPr>
        <i/>
        <sz val="11"/>
        <color theme="1"/>
        <rFont val="Courier New"/>
        <family val="3"/>
        <charset val="238"/>
      </rPr>
      <t xml:space="preserve"> </t>
    </r>
    <r>
      <rPr>
        <sz val="12"/>
        <color theme="1"/>
        <rFont val="Times New Roman"/>
        <family val="1"/>
        <charset val="238"/>
      </rPr>
      <t>szöveges állományba írta a helyes HTML-táblázatot, amely megfelelő elrendezésben tartalmazza az eredményeket</t>
    </r>
  </si>
  <si>
    <t>A legalább kétszer, nagyobb példányszámban újra kiadott könyvek</t>
  </si>
  <si>
    <t>A kiadások leírása alapján helyesen kezelte, hogy mely kiadások tartoznak az adott könyvhöz</t>
  </si>
  <si>
    <t>Megvizsgálta minden könyv esetében a könyv további kiadásait</t>
  </si>
  <si>
    <t>Legalább egy könyv esetében megállapította, hogy volt-e olyan alkalom, amikor nagyobb példányszámban újra kiadták</t>
  </si>
  <si>
    <t>Legalább egy könyv esetében helyesen eldöntötte, hogy volt-e legalább két olyan negyedév, amikor nagyobb példányszámban újra kiadták</t>
  </si>
  <si>
    <t>Minden könyv esetében megállapította, hogy volt-e olyan alkalom, amikor nagyobb példányszámban újra kiadták</t>
  </si>
  <si>
    <t>Minden könyv esetében helyesen eldöntötte, hogy volt-e legalább két olyan negyedév, amikor nagyobb példányszámban újra kiadták</t>
  </si>
  <si>
    <t>Egy-egy sorban megjelenítette a megfelelő könyvek leírását</t>
  </si>
  <si>
    <t xml:space="preserve"> </t>
  </si>
  <si>
    <r>
      <t xml:space="preserve">Az ötoszlopos táblázat első sorának szövege tartalmilag helyes:
</t>
    </r>
    <r>
      <rPr>
        <sz val="9"/>
        <color theme="1"/>
        <rFont val="Courier New"/>
        <family val="3"/>
        <charset val="238"/>
      </rPr>
      <t>&lt;table&gt;&lt;tr&gt;
&lt;th&gt;Év&lt;/th&gt;&lt;th&gt;Magyar kiadás&lt;/th&gt;&lt;th&gt;Magyar példányszám&lt;/th&gt;
&lt;th&gt;Külföldi kiadás&lt;/th&gt;&lt;th&gt;Külföldi példányszám&lt;/th&gt;
&lt;/tr&gt;&lt;/table&gt;</t>
    </r>
  </si>
  <si>
    <r>
      <t xml:space="preserve">A program a szöveges állományba írta legalább egy év adatait, az adatok a megfelelő cellákban szerepelnek:
</t>
    </r>
    <r>
      <rPr>
        <sz val="9"/>
        <color theme="1"/>
        <rFont val="Courier New"/>
        <family val="3"/>
        <charset val="238"/>
      </rPr>
      <t>&lt;table&gt;&lt;tr&gt;
&lt;td&gt;2020&lt;/td&gt;&lt;td&gt;45&lt;/td&gt;&lt;td&gt;834005&lt;/td&gt;
&lt;td&gt;29&lt;/td&gt;&lt;td&gt;416000&lt;/td&gt;
&lt;/tr&gt;&lt;/table&gt;</t>
    </r>
  </si>
  <si>
    <t xml:space="preserve">A vizsgázó által választott programozási környezet: </t>
  </si>
  <si>
    <t/>
  </si>
  <si>
    <r>
      <t xml:space="preserve">A </t>
    </r>
    <r>
      <rPr>
        <b/>
        <sz val="12"/>
        <color rgb="FF000000"/>
        <rFont val="Times New Roman"/>
        <family val="1"/>
        <charset val="238"/>
      </rPr>
      <t xml:space="preserve">C4-es </t>
    </r>
    <r>
      <rPr>
        <sz val="12"/>
        <color rgb="FF000000"/>
        <rFont val="Times New Roman"/>
        <family val="1"/>
        <charset val="238"/>
      </rPr>
      <t>cellában válassza ki a vizsgázó által használt programozási környezetet</t>
    </r>
  </si>
  <si>
    <t>Legalább az egyik osztályra 0 képpontnál nagyobb, azonos méretű belső margót állított be</t>
  </si>
  <si>
    <t>Az Olaszország munkalapon elvégzett beállítások:
•	a B:F oszlopokat elrejtette
•	az oszlopok szélességét úgy állította be, hogy minden adat látható
•	az I:P oszlopok szélessége azonos
•	az oszlopcímek félkövér betűstílusúak
•	az oszlopcímek vízszintesen és függőlegesen középre igazítottak
•	az oszlopcímek a minta szerint elforgatottak
•	az oszlopcímek több sorba tördeltek
•	az oszlopcímek cellái szürke színű kitöltésűek
•	a G oszlopban két tizedesjegyű megjelenítést állított be „km” mértékegységgel
•	az I:J oszlopokban ezres tagolást és „m” mértékegységet állított be tizedesjegyek nélkül
•	a K:P oszlopokban az adatok vízszintesen középre igazítottak
• a táblázat cellái belül vékony, kívül vastag vonallal szegélyezettek
A fentiek közül legalább három helyes</t>
  </si>
  <si>
    <r>
      <t>Külön munkalapra másolta Olaszország mind a 44 síparadicsomának adatait (</t>
    </r>
    <r>
      <rPr>
        <i/>
        <sz val="12"/>
        <color theme="1"/>
        <rFont val="Times New Roman"/>
        <family val="1"/>
        <charset val="238"/>
      </rPr>
      <t>A:P</t>
    </r>
    <r>
      <rPr>
        <sz val="12"/>
        <color theme="1"/>
        <rFont val="Times New Roman"/>
        <family val="1"/>
        <charset val="238"/>
      </rPr>
      <t xml:space="preserve"> oszlop)</t>
    </r>
  </si>
  <si>
    <r>
      <t xml:space="preserve">Létrehozta a program forráskódját (vagy projektet) </t>
    </r>
    <r>
      <rPr>
        <i/>
        <sz val="11"/>
        <color theme="1"/>
        <rFont val="Courier New"/>
        <family val="3"/>
        <charset val="238"/>
      </rPr>
      <t>konyvek</t>
    </r>
    <r>
      <rPr>
        <sz val="12"/>
        <color theme="1"/>
        <rFont val="Times New Roman"/>
        <family val="1"/>
        <charset val="238"/>
      </rPr>
      <t xml:space="preserve"> néven</t>
    </r>
  </si>
  <si>
    <t>Legalább egy könyv esetében a könyv kiadásait vizsgálta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</si>
</sst>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&quot; pont&quot;"/>
    <numFmt numFmtId="165" formatCode="General&quot; pont&quot;"/>
  </numFmts>
  <fonts count="25" x14ac:knownFonts="1">
    <font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indexed="8"/>
      <name val="Times New Roman"/>
      <family val="1"/>
      <charset val="238"/>
    </font>
    <font>
      <b/>
      <sz val="12"/>
      <color indexed="8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rgb="FFFF0000"/>
      <name val="Calibri"/>
      <family val="2"/>
      <charset val="238"/>
      <scheme val="minor"/>
    </font>
    <font>
      <i/>
      <sz val="11"/>
      <color theme="1"/>
      <name val="Courier New"/>
      <family val="3"/>
      <charset val="238"/>
    </font>
    <font>
      <b/>
      <i/>
      <sz val="12"/>
      <color theme="1"/>
      <name val="Times New Roman"/>
      <family val="1"/>
      <charset val="238"/>
    </font>
    <font>
      <i/>
      <sz val="12"/>
      <color theme="1"/>
      <name val="Times New Roman"/>
      <family val="1"/>
      <charset val="238"/>
    </font>
    <font>
      <sz val="10"/>
      <color indexed="81"/>
      <name val="Tahoma"/>
      <family val="2"/>
      <charset val="238"/>
    </font>
    <font>
      <sz val="12"/>
      <color rgb="FF000000"/>
      <name val="Times New Roman"/>
      <family val="1"/>
      <charset val="238"/>
    </font>
    <font>
      <sz val="16"/>
      <color theme="1"/>
      <name val="Calibri"/>
      <family val="2"/>
      <charset val="238"/>
      <scheme val="minor"/>
    </font>
    <font>
      <sz val="16"/>
      <color indexed="8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2"/>
      <color rgb="FF000000"/>
      <name val="Times New Roman"/>
      <family val="1"/>
      <charset val="238"/>
    </font>
    <font>
      <sz val="9"/>
      <color indexed="81"/>
      <name val="Tahoma"/>
      <family val="2"/>
      <charset val="238"/>
    </font>
    <font>
      <b/>
      <sz val="12"/>
      <color theme="1"/>
      <name val="Calibri"/>
      <family val="2"/>
      <charset val="238"/>
      <scheme val="minor"/>
    </font>
    <font>
      <sz val="11"/>
      <color theme="1"/>
      <name val="Courier New"/>
      <family val="3"/>
      <charset val="238"/>
    </font>
    <font>
      <b/>
      <sz val="16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i/>
      <sz val="10"/>
      <color theme="1"/>
      <name val="Times New Roman"/>
      <family val="1"/>
      <charset val="238"/>
    </font>
    <font>
      <sz val="16"/>
      <color theme="1"/>
      <name val="Times New Roman"/>
      <family val="1"/>
      <charset val="238"/>
    </font>
    <font>
      <i/>
      <sz val="12"/>
      <color rgb="FF000000"/>
      <name val="Times New Roman"/>
      <family val="1"/>
      <charset val="238"/>
    </font>
    <font>
      <sz val="9"/>
      <color rgb="FF000000"/>
      <name val="Courier New"/>
      <family val="3"/>
      <charset val="238"/>
    </font>
    <font>
      <sz val="9"/>
      <color theme="1"/>
      <name val="Courier New"/>
      <family val="3"/>
      <charset val="23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Protection="1">
      <protection locked="0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14" fontId="0" fillId="0" borderId="1" xfId="0" applyNumberFormat="1" applyBorder="1" applyAlignment="1" applyProtection="1">
      <alignment horizontal="right" vertical="center"/>
      <protection locked="0"/>
    </xf>
    <xf numFmtId="164" fontId="1" fillId="0" borderId="0" xfId="0" applyNumberFormat="1" applyFont="1" applyAlignment="1">
      <alignment horizontal="right" wrapText="1"/>
    </xf>
    <xf numFmtId="0" fontId="0" fillId="0" borderId="0" xfId="0" applyAlignment="1">
      <alignment wrapText="1"/>
    </xf>
    <xf numFmtId="165" fontId="13" fillId="0" borderId="11" xfId="0" applyNumberFormat="1" applyFont="1" applyBorder="1" applyAlignment="1">
      <alignment wrapText="1"/>
    </xf>
    <xf numFmtId="165" fontId="13" fillId="0" borderId="6" xfId="0" applyNumberFormat="1" applyFont="1" applyBorder="1" applyAlignment="1">
      <alignment wrapText="1"/>
    </xf>
    <xf numFmtId="0" fontId="1" fillId="0" borderId="2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left" vertical="center"/>
    </xf>
    <xf numFmtId="165" fontId="0" fillId="0" borderId="11" xfId="0" applyNumberFormat="1" applyBorder="1" applyAlignment="1">
      <alignment wrapText="1"/>
    </xf>
    <xf numFmtId="165" fontId="0" fillId="0" borderId="8" xfId="0" applyNumberFormat="1" applyBorder="1" applyAlignment="1">
      <alignment wrapText="1"/>
    </xf>
    <xf numFmtId="165" fontId="0" fillId="0" borderId="9" xfId="0" applyNumberForma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/>
    <xf numFmtId="0" fontId="16" fillId="0" borderId="7" xfId="0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164" fontId="5" fillId="0" borderId="6" xfId="0" applyNumberFormat="1" applyFont="1" applyBorder="1"/>
    <xf numFmtId="0" fontId="7" fillId="0" borderId="2" xfId="0" applyFont="1" applyBorder="1" applyAlignment="1">
      <alignment vertical="center" wrapText="1"/>
    </xf>
    <xf numFmtId="164" fontId="7" fillId="0" borderId="3" xfId="0" applyNumberFormat="1" applyFont="1" applyBorder="1" applyAlignment="1">
      <alignment horizontal="right" vertical="center" wrapText="1"/>
    </xf>
    <xf numFmtId="0" fontId="7" fillId="0" borderId="4" xfId="0" applyFont="1" applyBorder="1" applyAlignment="1">
      <alignment vertical="center" wrapText="1"/>
    </xf>
    <xf numFmtId="164" fontId="7" fillId="0" borderId="3" xfId="0" applyNumberFormat="1" applyFont="1" applyBorder="1" applyAlignment="1">
      <alignment horizontal="right" wrapText="1"/>
    </xf>
    <xf numFmtId="164" fontId="7" fillId="0" borderId="5" xfId="0" applyNumberFormat="1" applyFont="1" applyBorder="1" applyAlignment="1">
      <alignment horizontal="right" wrapText="1"/>
    </xf>
    <xf numFmtId="0" fontId="1" fillId="0" borderId="0" xfId="0" applyFont="1" applyAlignment="1">
      <alignment horizontal="justify" vertical="center" wrapText="1"/>
    </xf>
    <xf numFmtId="164" fontId="1" fillId="0" borderId="12" xfId="0" applyNumberFormat="1" applyFont="1" applyBorder="1" applyAlignment="1">
      <alignment horizontal="right" wrapText="1"/>
    </xf>
    <xf numFmtId="0" fontId="1" fillId="0" borderId="13" xfId="0" applyFont="1" applyBorder="1" applyAlignment="1">
      <alignment vertical="center" wrapText="1"/>
    </xf>
    <xf numFmtId="164" fontId="1" fillId="0" borderId="13" xfId="0" applyNumberFormat="1" applyFont="1" applyBorder="1" applyAlignment="1">
      <alignment horizontal="right" wrapText="1"/>
    </xf>
    <xf numFmtId="0" fontId="1" fillId="0" borderId="12" xfId="0" applyFont="1" applyBorder="1" applyAlignment="1">
      <alignment vertical="center" wrapText="1"/>
    </xf>
    <xf numFmtId="164" fontId="1" fillId="0" borderId="14" xfId="0" applyNumberFormat="1" applyFont="1" applyBorder="1" applyAlignment="1">
      <alignment horizontal="right" wrapText="1"/>
    </xf>
    <xf numFmtId="164" fontId="1" fillId="0" borderId="15" xfId="0" applyNumberFormat="1" applyFont="1" applyBorder="1" applyAlignment="1">
      <alignment horizontal="right" wrapText="1"/>
    </xf>
    <xf numFmtId="0" fontId="0" fillId="0" borderId="6" xfId="0" quotePrefix="1" applyBorder="1" applyAlignment="1" applyProtection="1">
      <alignment horizontal="center" vertical="center"/>
      <protection locked="0"/>
    </xf>
    <xf numFmtId="0" fontId="1" fillId="0" borderId="0" xfId="0" applyFont="1" applyAlignment="1">
      <alignment wrapText="1"/>
    </xf>
    <xf numFmtId="0" fontId="11" fillId="0" borderId="6" xfId="0" quotePrefix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>
      <alignment horizontal="justify" vertical="center" wrapText="1"/>
    </xf>
    <xf numFmtId="165" fontId="0" fillId="0" borderId="9" xfId="0" applyNumberFormat="1" applyBorder="1" applyAlignment="1">
      <alignment horizontal="right" vertical="center" wrapText="1"/>
    </xf>
    <xf numFmtId="165" fontId="0" fillId="0" borderId="10" xfId="0" applyNumberFormat="1" applyBorder="1" applyAlignment="1">
      <alignment horizontal="right" vertical="center" wrapText="1"/>
    </xf>
  </cellXfs>
  <cellStyles count="1">
    <cellStyle name="Normá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692758" cy="438150"/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26264FA-6346-4F71-984B-6FBD9D7D04D7}"/>
            </a:ext>
          </a:extLst>
        </xdr:cNvPr>
        <xdr:cNvSpPr txBox="1"/>
      </xdr:nvSpPr>
      <xdr:spPr>
        <a:xfrm>
          <a:off x="257175" y="0"/>
          <a:ext cx="2692758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36000" bIns="0" rtlCol="0" anchor="ctr" anchorCtr="0">
          <a:noAutofit/>
        </a:bodyPr>
        <a:lstStyle/>
        <a:p>
          <a:pPr algn="l"/>
          <a:r>
            <a:rPr lang="hu-HU" sz="1100"/>
            <a:t>Digitális</a:t>
          </a:r>
          <a:r>
            <a:rPr lang="hu-HU" sz="1100" baseline="0"/>
            <a:t> kultúra</a:t>
          </a:r>
          <a:r>
            <a:rPr lang="hu-HU" sz="1100"/>
            <a:t>- emelt</a:t>
          </a:r>
          <a:r>
            <a:rPr lang="hu-HU" sz="1100" baseline="0"/>
            <a:t> szint</a:t>
          </a:r>
          <a:endParaRPr lang="hu-HU" sz="1100"/>
        </a:p>
        <a:p>
          <a:pPr algn="l"/>
          <a:r>
            <a:rPr lang="hu-HU" sz="1100"/>
            <a:t>Javítási-értékelési útmutató / értékelőlap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/>
  <dimension ref="A1:A9"/>
  <sheetViews>
    <sheetView tabSelected="1" workbookViewId="0"/>
  </sheetViews>
  <sheetFormatPr defaultRowHeight="14.5" x14ac:dyDescent="0.35"/>
  <cols>
    <col min="1" max="1" width="78.453125" customWidth="1"/>
    <col min="2" max="2" width="12" customWidth="1"/>
  </cols>
  <sheetData>
    <row r="1" spans="1:1" ht="43.5" customHeight="1" x14ac:dyDescent="0.35">
      <c r="A1" s="2" t="s">
        <v>0</v>
      </c>
    </row>
    <row r="2" spans="1:1" ht="15.5" x14ac:dyDescent="0.35">
      <c r="A2" s="3"/>
    </row>
    <row r="3" spans="1:1" ht="46.5" customHeight="1" x14ac:dyDescent="0.35">
      <c r="A3" s="3" t="s">
        <v>1</v>
      </c>
    </row>
    <row r="4" spans="1:1" ht="37.9" customHeight="1" x14ac:dyDescent="0.35">
      <c r="A4" s="3" t="s">
        <v>8</v>
      </c>
    </row>
    <row r="5" spans="1:1" ht="94.9" customHeight="1" x14ac:dyDescent="0.35">
      <c r="A5" s="3" t="s">
        <v>9</v>
      </c>
    </row>
    <row r="6" spans="1:1" ht="31.15" customHeight="1" x14ac:dyDescent="0.35">
      <c r="A6" s="3" t="s">
        <v>214</v>
      </c>
    </row>
    <row r="7" spans="1:1" ht="60.4" customHeight="1" x14ac:dyDescent="0.35">
      <c r="A7" s="4" t="s">
        <v>2</v>
      </c>
    </row>
    <row r="8" spans="1:1" ht="76.5" customHeight="1" x14ac:dyDescent="0.35">
      <c r="A8" s="3" t="s">
        <v>3</v>
      </c>
    </row>
    <row r="9" spans="1:1" ht="37.9" customHeight="1" x14ac:dyDescent="0.35">
      <c r="A9" s="1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2">
    <pageSetUpPr fitToPage="1"/>
  </sheetPr>
  <dimension ref="A1:E222"/>
  <sheetViews>
    <sheetView zoomScale="106" zoomScaleNormal="106" zoomScaleSheetLayoutView="115" workbookViewId="0">
      <selection activeCell="D1" sqref="D1"/>
    </sheetView>
  </sheetViews>
  <sheetFormatPr defaultColWidth="9.26953125" defaultRowHeight="14.5" x14ac:dyDescent="0.35"/>
  <cols>
    <col min="1" max="1" width="3.54296875" customWidth="1"/>
    <col min="2" max="2" width="67.7265625" customWidth="1"/>
    <col min="3" max="3" width="9.1796875" customWidth="1"/>
    <col min="4" max="4" width="10.54296875" customWidth="1"/>
    <col min="5" max="5" width="25.54296875" style="5" customWidth="1"/>
  </cols>
  <sheetData>
    <row r="1" spans="1:4" ht="33.75" customHeight="1" x14ac:dyDescent="0.35">
      <c r="A1" s="18"/>
      <c r="B1" s="19"/>
      <c r="C1" s="20"/>
      <c r="D1" s="8" t="s">
        <v>12</v>
      </c>
    </row>
    <row r="2" spans="1:4" ht="3.75" customHeight="1" thickBot="1" x14ac:dyDescent="0.4"/>
    <row r="3" spans="1:4" ht="21" customHeight="1" thickBot="1" x14ac:dyDescent="0.4">
      <c r="A3" s="18"/>
      <c r="B3" s="21" t="s">
        <v>10</v>
      </c>
      <c r="C3" s="38" t="s">
        <v>209</v>
      </c>
    </row>
    <row r="4" spans="1:4" ht="18" customHeight="1" thickBot="1" x14ac:dyDescent="0.4">
      <c r="A4" s="18"/>
      <c r="B4" s="21" t="s">
        <v>212</v>
      </c>
      <c r="C4" s="36" t="s">
        <v>213</v>
      </c>
    </row>
    <row r="5" spans="1:4" ht="20.5" thickBot="1" x14ac:dyDescent="0.4">
      <c r="B5" s="22" t="s">
        <v>14</v>
      </c>
    </row>
    <row r="6" spans="1:4" ht="16" thickBot="1" x14ac:dyDescent="0.4">
      <c r="B6" s="6" t="s">
        <v>15</v>
      </c>
      <c r="C6" s="7"/>
    </row>
    <row r="7" spans="1:4" ht="16" thickBot="1" x14ac:dyDescent="0.4">
      <c r="A7" s="5">
        <v>0</v>
      </c>
      <c r="B7" s="1" t="s">
        <v>16</v>
      </c>
      <c r="C7" s="9">
        <v>1</v>
      </c>
      <c r="D7" s="23">
        <f t="shared" ref="D7:D12" si="0">C7*A7</f>
        <v>0</v>
      </c>
    </row>
    <row r="8" spans="1:4" ht="16" thickBot="1" x14ac:dyDescent="0.4">
      <c r="A8" s="5">
        <v>0</v>
      </c>
      <c r="B8" s="1" t="s">
        <v>17</v>
      </c>
      <c r="C8" s="9">
        <v>1</v>
      </c>
      <c r="D8" s="23">
        <f t="shared" si="0"/>
        <v>0</v>
      </c>
    </row>
    <row r="9" spans="1:4" ht="31.5" thickBot="1" x14ac:dyDescent="0.4">
      <c r="A9" s="5">
        <v>0</v>
      </c>
      <c r="B9" s="1" t="s">
        <v>18</v>
      </c>
      <c r="C9" s="9">
        <v>1</v>
      </c>
      <c r="D9" s="23">
        <f t="shared" si="0"/>
        <v>0</v>
      </c>
    </row>
    <row r="10" spans="1:4" ht="16" thickBot="1" x14ac:dyDescent="0.4">
      <c r="A10" s="5">
        <v>0</v>
      </c>
      <c r="B10" s="1" t="s">
        <v>19</v>
      </c>
      <c r="C10" s="9">
        <v>1</v>
      </c>
      <c r="D10" s="23">
        <f t="shared" si="0"/>
        <v>0</v>
      </c>
    </row>
    <row r="11" spans="1:4" ht="16" thickBot="1" x14ac:dyDescent="0.4">
      <c r="A11" s="5">
        <v>0</v>
      </c>
      <c r="B11" s="1" t="s">
        <v>20</v>
      </c>
      <c r="C11" s="9">
        <v>1</v>
      </c>
      <c r="D11" s="23">
        <f t="shared" si="0"/>
        <v>0</v>
      </c>
    </row>
    <row r="12" spans="1:4" ht="33" customHeight="1" thickBot="1" x14ac:dyDescent="0.4">
      <c r="A12" s="5">
        <v>0</v>
      </c>
      <c r="B12" s="1" t="s">
        <v>21</v>
      </c>
      <c r="C12" s="9">
        <v>1</v>
      </c>
      <c r="D12" s="23">
        <f t="shared" si="0"/>
        <v>0</v>
      </c>
    </row>
    <row r="13" spans="1:4" ht="16" thickBot="1" x14ac:dyDescent="0.4">
      <c r="B13" s="6" t="s">
        <v>22</v>
      </c>
      <c r="C13" s="7"/>
    </row>
    <row r="14" spans="1:4" ht="31.5" thickBot="1" x14ac:dyDescent="0.4">
      <c r="A14" s="5">
        <v>0</v>
      </c>
      <c r="B14" s="1" t="s">
        <v>23</v>
      </c>
      <c r="C14" s="9">
        <v>1</v>
      </c>
      <c r="D14" s="23">
        <f t="shared" ref="D14:D23" si="1">C14*A14</f>
        <v>0</v>
      </c>
    </row>
    <row r="15" spans="1:4" ht="31.5" thickBot="1" x14ac:dyDescent="0.4">
      <c r="A15" s="5">
        <v>0</v>
      </c>
      <c r="B15" s="1" t="s">
        <v>24</v>
      </c>
      <c r="C15" s="9">
        <v>1</v>
      </c>
      <c r="D15" s="23">
        <f t="shared" si="1"/>
        <v>0</v>
      </c>
    </row>
    <row r="16" spans="1:4" ht="16" thickBot="1" x14ac:dyDescent="0.4">
      <c r="A16" s="5">
        <v>0</v>
      </c>
      <c r="B16" s="1" t="s">
        <v>25</v>
      </c>
      <c r="C16" s="9">
        <v>1</v>
      </c>
      <c r="D16" s="23">
        <f t="shared" si="1"/>
        <v>0</v>
      </c>
    </row>
    <row r="17" spans="1:4" ht="16" thickBot="1" x14ac:dyDescent="0.4">
      <c r="A17" s="5">
        <v>0</v>
      </c>
      <c r="B17" s="1" t="s">
        <v>26</v>
      </c>
      <c r="C17" s="9">
        <v>1</v>
      </c>
      <c r="D17" s="23">
        <f t="shared" si="1"/>
        <v>0</v>
      </c>
    </row>
    <row r="18" spans="1:4" ht="31.5" thickBot="1" x14ac:dyDescent="0.4">
      <c r="A18" s="5">
        <v>0</v>
      </c>
      <c r="B18" s="1" t="s">
        <v>27</v>
      </c>
      <c r="C18" s="9">
        <v>1</v>
      </c>
      <c r="D18" s="23">
        <f t="shared" si="1"/>
        <v>0</v>
      </c>
    </row>
    <row r="19" spans="1:4" ht="31.5" thickBot="1" x14ac:dyDescent="0.4">
      <c r="A19" s="5">
        <v>0</v>
      </c>
      <c r="B19" s="1" t="s">
        <v>28</v>
      </c>
      <c r="C19" s="9">
        <v>1</v>
      </c>
      <c r="D19" s="23">
        <f t="shared" si="1"/>
        <v>0</v>
      </c>
    </row>
    <row r="20" spans="1:4" ht="31.5" thickBot="1" x14ac:dyDescent="0.4">
      <c r="A20" s="5">
        <v>0</v>
      </c>
      <c r="B20" s="1" t="s">
        <v>29</v>
      </c>
      <c r="C20" s="9">
        <v>1</v>
      </c>
      <c r="D20" s="23">
        <f t="shared" si="1"/>
        <v>0</v>
      </c>
    </row>
    <row r="21" spans="1:4" ht="31.5" thickBot="1" x14ac:dyDescent="0.4">
      <c r="A21" s="5">
        <v>0</v>
      </c>
      <c r="B21" s="1" t="s">
        <v>215</v>
      </c>
      <c r="C21" s="9">
        <v>1</v>
      </c>
      <c r="D21" s="23">
        <f t="shared" si="1"/>
        <v>0</v>
      </c>
    </row>
    <row r="22" spans="1:4" ht="31.5" thickBot="1" x14ac:dyDescent="0.4">
      <c r="A22" s="5">
        <v>0</v>
      </c>
      <c r="B22" s="1" t="s">
        <v>30</v>
      </c>
      <c r="C22" s="9">
        <v>1</v>
      </c>
      <c r="D22" s="23">
        <f t="shared" si="1"/>
        <v>0</v>
      </c>
    </row>
    <row r="23" spans="1:4" ht="16" thickBot="1" x14ac:dyDescent="0.4">
      <c r="A23" s="5">
        <v>0</v>
      </c>
      <c r="B23" s="1" t="s">
        <v>31</v>
      </c>
      <c r="C23" s="9">
        <v>1</v>
      </c>
      <c r="D23" s="23">
        <f t="shared" si="1"/>
        <v>0</v>
      </c>
    </row>
    <row r="24" spans="1:4" ht="31.5" thickBot="1" x14ac:dyDescent="0.4">
      <c r="B24" s="6" t="s">
        <v>32</v>
      </c>
      <c r="C24" s="7"/>
    </row>
    <row r="25" spans="1:4" ht="16" thickBot="1" x14ac:dyDescent="0.4">
      <c r="A25" s="5">
        <v>0</v>
      </c>
      <c r="B25" s="1" t="s">
        <v>33</v>
      </c>
      <c r="C25" s="9">
        <v>1</v>
      </c>
      <c r="D25" s="23">
        <f t="shared" ref="D25:D31" si="2">C25*A25</f>
        <v>0</v>
      </c>
    </row>
    <row r="26" spans="1:4" ht="16" thickBot="1" x14ac:dyDescent="0.4">
      <c r="A26" s="5">
        <v>0</v>
      </c>
      <c r="B26" s="1" t="s">
        <v>34</v>
      </c>
      <c r="C26" s="9">
        <v>1</v>
      </c>
      <c r="D26" s="23">
        <f t="shared" si="2"/>
        <v>0</v>
      </c>
    </row>
    <row r="27" spans="1:4" ht="31.5" thickBot="1" x14ac:dyDescent="0.4">
      <c r="A27" s="5">
        <v>0</v>
      </c>
      <c r="B27" s="1" t="s">
        <v>35</v>
      </c>
      <c r="C27" s="9">
        <v>1</v>
      </c>
      <c r="D27" s="23">
        <f t="shared" si="2"/>
        <v>0</v>
      </c>
    </row>
    <row r="28" spans="1:4" ht="31.5" thickBot="1" x14ac:dyDescent="0.4">
      <c r="A28" s="5">
        <v>0</v>
      </c>
      <c r="B28" s="1" t="s">
        <v>36</v>
      </c>
      <c r="C28" s="9">
        <v>1</v>
      </c>
      <c r="D28" s="23">
        <f t="shared" si="2"/>
        <v>0</v>
      </c>
    </row>
    <row r="29" spans="1:4" ht="16" thickBot="1" x14ac:dyDescent="0.4">
      <c r="A29" s="5">
        <v>0</v>
      </c>
      <c r="B29" s="1" t="s">
        <v>37</v>
      </c>
      <c r="C29" s="9">
        <v>1</v>
      </c>
      <c r="D29" s="23">
        <f t="shared" si="2"/>
        <v>0</v>
      </c>
    </row>
    <row r="30" spans="1:4" ht="31.5" thickBot="1" x14ac:dyDescent="0.4">
      <c r="A30" s="5">
        <v>0</v>
      </c>
      <c r="B30" s="1" t="s">
        <v>38</v>
      </c>
      <c r="C30" s="9">
        <v>1</v>
      </c>
      <c r="D30" s="23">
        <f t="shared" si="2"/>
        <v>0</v>
      </c>
    </row>
    <row r="31" spans="1:4" ht="31.5" thickBot="1" x14ac:dyDescent="0.4">
      <c r="A31" s="5">
        <v>0</v>
      </c>
      <c r="B31" s="1" t="s">
        <v>39</v>
      </c>
      <c r="C31" s="9">
        <v>1</v>
      </c>
      <c r="D31" s="23">
        <f t="shared" si="2"/>
        <v>0</v>
      </c>
    </row>
    <row r="32" spans="1:4" ht="16" thickBot="1" x14ac:dyDescent="0.4">
      <c r="B32" s="6" t="s">
        <v>40</v>
      </c>
      <c r="C32" s="7"/>
    </row>
    <row r="33" spans="1:4" ht="31.5" thickBot="1" x14ac:dyDescent="0.4">
      <c r="A33" s="5">
        <v>0</v>
      </c>
      <c r="B33" s="1" t="s">
        <v>41</v>
      </c>
      <c r="C33" s="9">
        <v>1</v>
      </c>
      <c r="D33" s="23">
        <f>C33*A33</f>
        <v>0</v>
      </c>
    </row>
    <row r="34" spans="1:4" ht="16" thickBot="1" x14ac:dyDescent="0.4">
      <c r="A34" s="5">
        <v>0</v>
      </c>
      <c r="B34" s="1" t="s">
        <v>42</v>
      </c>
      <c r="C34" s="9">
        <v>1</v>
      </c>
      <c r="D34" s="23">
        <f>C34*A34</f>
        <v>0</v>
      </c>
    </row>
    <row r="35" spans="1:4" ht="16" thickBot="1" x14ac:dyDescent="0.4">
      <c r="A35" s="5"/>
      <c r="B35" s="6" t="s">
        <v>43</v>
      </c>
      <c r="C35" s="7"/>
    </row>
    <row r="36" spans="1:4" ht="16" thickBot="1" x14ac:dyDescent="0.4">
      <c r="A36" s="5">
        <v>0</v>
      </c>
      <c r="B36" s="1" t="s">
        <v>44</v>
      </c>
      <c r="C36" s="9">
        <v>1</v>
      </c>
      <c r="D36" s="23">
        <f t="shared" ref="D36:D45" si="3">C36*A36</f>
        <v>0</v>
      </c>
    </row>
    <row r="37" spans="1:4" ht="31.5" thickBot="1" x14ac:dyDescent="0.4">
      <c r="A37" s="5">
        <v>0</v>
      </c>
      <c r="B37" s="1" t="s">
        <v>45</v>
      </c>
      <c r="C37" s="9">
        <v>1</v>
      </c>
      <c r="D37" s="23">
        <f t="shared" si="3"/>
        <v>0</v>
      </c>
    </row>
    <row r="38" spans="1:4" ht="16" thickBot="1" x14ac:dyDescent="0.4">
      <c r="A38" s="5">
        <v>0</v>
      </c>
      <c r="B38" s="1" t="s">
        <v>46</v>
      </c>
      <c r="C38" s="9">
        <v>1</v>
      </c>
      <c r="D38" s="23">
        <f t="shared" si="3"/>
        <v>0</v>
      </c>
    </row>
    <row r="39" spans="1:4" ht="16" thickBot="1" x14ac:dyDescent="0.4">
      <c r="A39" s="5">
        <v>0</v>
      </c>
      <c r="B39" s="1" t="s">
        <v>47</v>
      </c>
      <c r="C39" s="9">
        <v>1</v>
      </c>
      <c r="D39" s="23">
        <f t="shared" si="3"/>
        <v>0</v>
      </c>
    </row>
    <row r="40" spans="1:4" ht="16" thickBot="1" x14ac:dyDescent="0.4">
      <c r="A40" s="5">
        <v>0</v>
      </c>
      <c r="B40" s="1" t="s">
        <v>48</v>
      </c>
      <c r="C40" s="9">
        <v>1</v>
      </c>
      <c r="D40" s="23">
        <f t="shared" si="3"/>
        <v>0</v>
      </c>
    </row>
    <row r="41" spans="1:4" ht="16" thickBot="1" x14ac:dyDescent="0.4">
      <c r="A41" s="5">
        <v>0</v>
      </c>
      <c r="B41" s="1" t="s">
        <v>49</v>
      </c>
      <c r="C41" s="9">
        <v>1</v>
      </c>
      <c r="D41" s="23">
        <f t="shared" si="3"/>
        <v>0</v>
      </c>
    </row>
    <row r="42" spans="1:4" ht="16" thickBot="1" x14ac:dyDescent="0.4">
      <c r="A42" s="5">
        <v>0</v>
      </c>
      <c r="B42" s="1" t="s">
        <v>50</v>
      </c>
      <c r="C42" s="9">
        <v>1</v>
      </c>
      <c r="D42" s="23">
        <f t="shared" si="3"/>
        <v>0</v>
      </c>
    </row>
    <row r="43" spans="1:4" ht="16" thickBot="1" x14ac:dyDescent="0.4">
      <c r="A43" s="5">
        <v>0</v>
      </c>
      <c r="B43" s="1" t="s">
        <v>51</v>
      </c>
      <c r="C43" s="9">
        <v>1</v>
      </c>
      <c r="D43" s="23">
        <f t="shared" si="3"/>
        <v>0</v>
      </c>
    </row>
    <row r="44" spans="1:4" ht="16" thickBot="1" x14ac:dyDescent="0.4">
      <c r="A44" s="5">
        <v>0</v>
      </c>
      <c r="B44" s="1" t="s">
        <v>52</v>
      </c>
      <c r="C44" s="9">
        <v>1</v>
      </c>
      <c r="D44" s="23">
        <f t="shared" si="3"/>
        <v>0</v>
      </c>
    </row>
    <row r="45" spans="1:4" ht="16" thickBot="1" x14ac:dyDescent="0.4">
      <c r="A45" s="5">
        <v>0</v>
      </c>
      <c r="B45" s="1" t="s">
        <v>53</v>
      </c>
      <c r="C45" s="9">
        <v>1</v>
      </c>
      <c r="D45" s="23">
        <f t="shared" si="3"/>
        <v>0</v>
      </c>
    </row>
    <row r="46" spans="1:4" ht="16" thickBot="1" x14ac:dyDescent="0.4">
      <c r="B46" s="6" t="s">
        <v>54</v>
      </c>
      <c r="C46" s="7"/>
    </row>
    <row r="47" spans="1:4" ht="31.5" thickBot="1" x14ac:dyDescent="0.4">
      <c r="A47" s="5">
        <v>0</v>
      </c>
      <c r="B47" s="1" t="s">
        <v>55</v>
      </c>
      <c r="C47" s="9">
        <v>1</v>
      </c>
      <c r="D47" s="23">
        <f>C47*A47</f>
        <v>0</v>
      </c>
    </row>
    <row r="48" spans="1:4" ht="29.25" customHeight="1" thickBot="1" x14ac:dyDescent="0.4">
      <c r="B48" s="6" t="s">
        <v>56</v>
      </c>
      <c r="C48" s="7"/>
    </row>
    <row r="49" spans="1:4" ht="16" thickBot="1" x14ac:dyDescent="0.4">
      <c r="A49" s="5">
        <v>0</v>
      </c>
      <c r="B49" s="1" t="s">
        <v>57</v>
      </c>
      <c r="C49" s="9">
        <v>1</v>
      </c>
      <c r="D49" s="23">
        <f>C49*A49</f>
        <v>0</v>
      </c>
    </row>
    <row r="50" spans="1:4" ht="16" thickBot="1" x14ac:dyDescent="0.4">
      <c r="A50" s="5">
        <v>0</v>
      </c>
      <c r="B50" s="1" t="s">
        <v>58</v>
      </c>
      <c r="C50" s="9">
        <v>1</v>
      </c>
      <c r="D50" s="23">
        <f>C50*A50</f>
        <v>0</v>
      </c>
    </row>
    <row r="51" spans="1:4" ht="16" thickBot="1" x14ac:dyDescent="0.4">
      <c r="A51" s="5">
        <v>0</v>
      </c>
      <c r="B51" s="1" t="s">
        <v>59</v>
      </c>
      <c r="C51" s="9">
        <v>2</v>
      </c>
      <c r="D51" s="23">
        <f>C51*A51</f>
        <v>0</v>
      </c>
    </row>
    <row r="52" spans="1:4" ht="16" thickBot="1" x14ac:dyDescent="0.4">
      <c r="A52" s="5">
        <v>0</v>
      </c>
      <c r="B52" s="1" t="s">
        <v>60</v>
      </c>
      <c r="C52" s="9">
        <v>1</v>
      </c>
      <c r="D52" s="23">
        <f>C52*A52</f>
        <v>0</v>
      </c>
    </row>
    <row r="53" spans="1:4" ht="31.5" thickBot="1" x14ac:dyDescent="0.4">
      <c r="A53" s="5">
        <v>0</v>
      </c>
      <c r="B53" s="1" t="s">
        <v>61</v>
      </c>
      <c r="C53" s="9">
        <v>1</v>
      </c>
      <c r="D53" s="23">
        <f>C53*A53</f>
        <v>0</v>
      </c>
    </row>
    <row r="54" spans="1:4" ht="16" thickBot="1" x14ac:dyDescent="0.4">
      <c r="B54" s="6" t="s">
        <v>62</v>
      </c>
      <c r="C54" s="7"/>
    </row>
    <row r="55" spans="1:4" ht="16" thickBot="1" x14ac:dyDescent="0.4">
      <c r="A55" s="5">
        <v>0</v>
      </c>
      <c r="B55" s="1" t="s">
        <v>63</v>
      </c>
      <c r="C55" s="9">
        <v>1</v>
      </c>
      <c r="D55" s="23">
        <f>C55*A55</f>
        <v>0</v>
      </c>
    </row>
    <row r="56" spans="1:4" ht="16" thickBot="1" x14ac:dyDescent="0.4">
      <c r="A56" s="5">
        <v>0</v>
      </c>
      <c r="B56" s="1" t="s">
        <v>64</v>
      </c>
      <c r="C56" s="9">
        <v>1</v>
      </c>
      <c r="D56" s="23">
        <f>C56*A56</f>
        <v>0</v>
      </c>
    </row>
    <row r="57" spans="1:4" ht="16" thickBot="1" x14ac:dyDescent="0.4">
      <c r="A57" s="5">
        <v>0</v>
      </c>
      <c r="B57" s="1" t="s">
        <v>65</v>
      </c>
      <c r="C57" s="9">
        <v>1</v>
      </c>
      <c r="D57" s="23">
        <f>C57*A57</f>
        <v>0</v>
      </c>
    </row>
    <row r="58" spans="1:4" ht="16" thickBot="1" x14ac:dyDescent="0.4">
      <c r="A58" s="5">
        <v>0</v>
      </c>
      <c r="B58" s="1" t="s">
        <v>66</v>
      </c>
      <c r="C58" s="9">
        <v>1</v>
      </c>
      <c r="D58" s="23">
        <f>C58*A58</f>
        <v>0</v>
      </c>
    </row>
    <row r="59" spans="1:4" ht="16" thickBot="1" x14ac:dyDescent="0.4">
      <c r="B59" s="6" t="s">
        <v>67</v>
      </c>
      <c r="C59" s="7"/>
    </row>
    <row r="60" spans="1:4" ht="16" thickBot="1" x14ac:dyDescent="0.4">
      <c r="A60" s="5">
        <v>0</v>
      </c>
      <c r="B60" s="1" t="s">
        <v>68</v>
      </c>
      <c r="C60" s="9">
        <v>1</v>
      </c>
      <c r="D60" s="23">
        <f>C60*A60</f>
        <v>0</v>
      </c>
    </row>
    <row r="61" spans="1:4" ht="16" thickBot="1" x14ac:dyDescent="0.4">
      <c r="A61" s="5">
        <v>0</v>
      </c>
      <c r="B61" s="1" t="s">
        <v>69</v>
      </c>
      <c r="C61" s="9">
        <v>1</v>
      </c>
      <c r="D61" s="23">
        <f>C61*A61</f>
        <v>0</v>
      </c>
    </row>
    <row r="62" spans="1:4" ht="16" thickBot="1" x14ac:dyDescent="0.4">
      <c r="A62" s="5">
        <v>0</v>
      </c>
      <c r="B62" s="1" t="s">
        <v>70</v>
      </c>
      <c r="C62" s="9">
        <v>1</v>
      </c>
      <c r="D62" s="23">
        <f>C62*A62</f>
        <v>0</v>
      </c>
    </row>
    <row r="63" spans="1:4" ht="16" thickBot="1" x14ac:dyDescent="0.4">
      <c r="B63" s="24" t="s">
        <v>7</v>
      </c>
      <c r="C63" s="25">
        <f>SUM(C7:C62)</f>
        <v>49</v>
      </c>
      <c r="D63" s="23">
        <f>SUM(D7:D62)</f>
        <v>0</v>
      </c>
    </row>
    <row r="64" spans="1:4" ht="16" thickBot="1" x14ac:dyDescent="0.4">
      <c r="B64" s="26" t="s">
        <v>71</v>
      </c>
      <c r="C64" s="25">
        <f>35/C63*C63</f>
        <v>35</v>
      </c>
      <c r="D64" s="23">
        <f>ROUNDDOWN(D63*35/C63,0)</f>
        <v>0</v>
      </c>
    </row>
    <row r="66" spans="1:4" ht="20.5" thickBot="1" x14ac:dyDescent="0.4">
      <c r="B66" s="22" t="s">
        <v>72</v>
      </c>
    </row>
    <row r="67" spans="1:4" ht="16" thickBot="1" x14ac:dyDescent="0.4">
      <c r="B67" s="6" t="s">
        <v>73</v>
      </c>
      <c r="C67" s="7"/>
    </row>
    <row r="68" spans="1:4" ht="31.5" thickBot="1" x14ac:dyDescent="0.4">
      <c r="A68" s="5">
        <v>0</v>
      </c>
      <c r="B68" s="1" t="s">
        <v>74</v>
      </c>
      <c r="C68" s="9">
        <v>1</v>
      </c>
      <c r="D68" s="23">
        <f>C68*A68</f>
        <v>0</v>
      </c>
    </row>
    <row r="69" spans="1:4" ht="16" thickBot="1" x14ac:dyDescent="0.4">
      <c r="A69" s="5">
        <v>0</v>
      </c>
      <c r="B69" s="1" t="s">
        <v>75</v>
      </c>
      <c r="C69" s="9">
        <v>1</v>
      </c>
      <c r="D69" s="23">
        <f>C69*A69</f>
        <v>0</v>
      </c>
    </row>
    <row r="70" spans="1:4" ht="16" thickBot="1" x14ac:dyDescent="0.4">
      <c r="A70" s="5"/>
      <c r="B70" s="6" t="s">
        <v>76</v>
      </c>
      <c r="C70" s="7"/>
    </row>
    <row r="71" spans="1:4" ht="31.5" thickBot="1" x14ac:dyDescent="0.4">
      <c r="A71" s="5">
        <v>0</v>
      </c>
      <c r="B71" s="1" t="s">
        <v>77</v>
      </c>
      <c r="C71" s="9">
        <v>1</v>
      </c>
      <c r="D71" s="23">
        <f>C71*A71</f>
        <v>0</v>
      </c>
    </row>
    <row r="72" spans="1:4" ht="31.5" thickBot="1" x14ac:dyDescent="0.4">
      <c r="A72" s="5">
        <v>0</v>
      </c>
      <c r="B72" s="1" t="s">
        <v>78</v>
      </c>
      <c r="C72" s="9">
        <v>1</v>
      </c>
      <c r="D72" s="23">
        <f>C72*A72</f>
        <v>0</v>
      </c>
    </row>
    <row r="73" spans="1:4" ht="16" thickBot="1" x14ac:dyDescent="0.4">
      <c r="B73" s="6" t="s">
        <v>79</v>
      </c>
      <c r="C73" s="7"/>
    </row>
    <row r="74" spans="1:4" ht="110.65" customHeight="1" thickBot="1" x14ac:dyDescent="0.4">
      <c r="A74" s="5">
        <v>0</v>
      </c>
      <c r="B74" s="1" t="s">
        <v>116</v>
      </c>
      <c r="C74" s="30">
        <v>1</v>
      </c>
      <c r="D74" s="23">
        <f>C74*A74</f>
        <v>0</v>
      </c>
    </row>
    <row r="75" spans="1:4" ht="16" thickBot="1" x14ac:dyDescent="0.4">
      <c r="A75" s="5">
        <v>0</v>
      </c>
      <c r="B75" s="1" t="s">
        <v>80</v>
      </c>
      <c r="C75" s="9">
        <v>1</v>
      </c>
      <c r="D75" s="23">
        <f>C75*A75</f>
        <v>0</v>
      </c>
    </row>
    <row r="76" spans="1:4" ht="16" thickBot="1" x14ac:dyDescent="0.4">
      <c r="A76" s="5">
        <v>0</v>
      </c>
      <c r="B76" s="1" t="s">
        <v>81</v>
      </c>
      <c r="C76" s="9">
        <v>1</v>
      </c>
      <c r="D76" s="23">
        <f>C76*A76</f>
        <v>0</v>
      </c>
    </row>
    <row r="77" spans="1:4" ht="16" thickBot="1" x14ac:dyDescent="0.4">
      <c r="A77" s="5">
        <v>0</v>
      </c>
      <c r="B77" s="1" t="s">
        <v>82</v>
      </c>
      <c r="C77" s="9">
        <v>1</v>
      </c>
      <c r="D77" s="23">
        <f>C77*A77</f>
        <v>0</v>
      </c>
    </row>
    <row r="78" spans="1:4" ht="16" thickBot="1" x14ac:dyDescent="0.4">
      <c r="B78" s="6" t="s">
        <v>83</v>
      </c>
      <c r="C78" s="7"/>
    </row>
    <row r="79" spans="1:4" ht="31.5" thickBot="1" x14ac:dyDescent="0.4">
      <c r="A79" s="5">
        <v>0</v>
      </c>
      <c r="B79" s="1" t="s">
        <v>84</v>
      </c>
      <c r="C79" s="9">
        <v>1</v>
      </c>
      <c r="D79" s="23">
        <f>C79*A79</f>
        <v>0</v>
      </c>
    </row>
    <row r="80" spans="1:4" ht="16" thickBot="1" x14ac:dyDescent="0.4">
      <c r="B80" s="6" t="s">
        <v>85</v>
      </c>
      <c r="C80" s="7"/>
    </row>
    <row r="81" spans="1:4" ht="31.5" thickBot="1" x14ac:dyDescent="0.4">
      <c r="A81" s="5">
        <v>0</v>
      </c>
      <c r="B81" s="1" t="s">
        <v>86</v>
      </c>
      <c r="C81" s="9">
        <v>2</v>
      </c>
      <c r="D81" s="23">
        <f>C81*A81</f>
        <v>0</v>
      </c>
    </row>
    <row r="82" spans="1:4" ht="47" thickBot="1" x14ac:dyDescent="0.4">
      <c r="A82" s="5">
        <v>0</v>
      </c>
      <c r="B82" s="1" t="s">
        <v>87</v>
      </c>
      <c r="C82" s="9">
        <v>2</v>
      </c>
      <c r="D82" s="23">
        <f>C82*A82</f>
        <v>0</v>
      </c>
    </row>
    <row r="83" spans="1:4" ht="16" thickBot="1" x14ac:dyDescent="0.4">
      <c r="A83" s="5">
        <v>0</v>
      </c>
      <c r="B83" s="1" t="s">
        <v>88</v>
      </c>
      <c r="C83" s="9">
        <v>1</v>
      </c>
      <c r="D83" s="23">
        <f>C83*A83</f>
        <v>0</v>
      </c>
    </row>
    <row r="84" spans="1:4" ht="47" thickBot="1" x14ac:dyDescent="0.4">
      <c r="A84" s="5">
        <v>0</v>
      </c>
      <c r="B84" s="1" t="s">
        <v>89</v>
      </c>
      <c r="C84" s="9">
        <v>1</v>
      </c>
      <c r="D84" s="23">
        <f>C84*A84</f>
        <v>0</v>
      </c>
    </row>
    <row r="85" spans="1:4" ht="52" thickBot="1" x14ac:dyDescent="0.4">
      <c r="A85" s="5">
        <v>0</v>
      </c>
      <c r="B85" s="1" t="s">
        <v>90</v>
      </c>
      <c r="C85" s="9">
        <v>1</v>
      </c>
      <c r="D85" s="23">
        <f>C85*A85</f>
        <v>0</v>
      </c>
    </row>
    <row r="86" spans="1:4" ht="16" thickBot="1" x14ac:dyDescent="0.4">
      <c r="B86" s="6" t="s">
        <v>91</v>
      </c>
      <c r="C86" s="7"/>
    </row>
    <row r="87" spans="1:4" ht="31.5" thickBot="1" x14ac:dyDescent="0.4">
      <c r="A87" s="5">
        <v>0</v>
      </c>
      <c r="B87" s="1" t="s">
        <v>92</v>
      </c>
      <c r="C87" s="9">
        <v>1</v>
      </c>
      <c r="D87" s="23">
        <f>C87*A87</f>
        <v>0</v>
      </c>
    </row>
    <row r="88" spans="1:4" ht="31.5" thickBot="1" x14ac:dyDescent="0.4">
      <c r="A88" s="5">
        <v>0</v>
      </c>
      <c r="B88" s="29" t="s">
        <v>93</v>
      </c>
      <c r="C88" s="9">
        <v>2</v>
      </c>
      <c r="D88" s="23">
        <f>C88*A88</f>
        <v>0</v>
      </c>
    </row>
    <row r="89" spans="1:4" ht="16" thickBot="1" x14ac:dyDescent="0.4">
      <c r="B89" s="6" t="s">
        <v>94</v>
      </c>
      <c r="C89" s="7"/>
    </row>
    <row r="90" spans="1:4" ht="31.5" thickBot="1" x14ac:dyDescent="0.4">
      <c r="A90" s="5">
        <v>0</v>
      </c>
      <c r="B90" s="1" t="s">
        <v>95</v>
      </c>
      <c r="C90" s="9">
        <v>1</v>
      </c>
      <c r="D90" s="23">
        <f>C90*A90</f>
        <v>0</v>
      </c>
    </row>
    <row r="91" spans="1:4" ht="31.5" thickBot="1" x14ac:dyDescent="0.4">
      <c r="A91" s="5">
        <v>0</v>
      </c>
      <c r="B91" s="1" t="s">
        <v>96</v>
      </c>
      <c r="C91" s="9">
        <v>2</v>
      </c>
      <c r="D91" s="23">
        <f>C91*A91</f>
        <v>0</v>
      </c>
    </row>
    <row r="92" spans="1:4" ht="16" thickBot="1" x14ac:dyDescent="0.4">
      <c r="B92" s="6" t="s">
        <v>97</v>
      </c>
      <c r="C92" s="7"/>
    </row>
    <row r="93" spans="1:4" ht="31.5" thickBot="1" x14ac:dyDescent="0.4">
      <c r="A93" s="5">
        <v>0</v>
      </c>
      <c r="B93" s="1" t="s">
        <v>98</v>
      </c>
      <c r="C93" s="9">
        <v>2</v>
      </c>
      <c r="D93" s="23">
        <f>C93*A93</f>
        <v>0</v>
      </c>
    </row>
    <row r="94" spans="1:4" ht="31.5" thickBot="1" x14ac:dyDescent="0.4">
      <c r="B94" s="6" t="s">
        <v>99</v>
      </c>
      <c r="C94" s="7"/>
    </row>
    <row r="95" spans="1:4" ht="33" customHeight="1" thickBot="1" x14ac:dyDescent="0.4">
      <c r="A95" s="5">
        <v>0</v>
      </c>
      <c r="B95" s="37" t="s">
        <v>217</v>
      </c>
      <c r="C95" s="9">
        <v>1</v>
      </c>
      <c r="D95" s="23">
        <f>C95*A95</f>
        <v>0</v>
      </c>
    </row>
    <row r="96" spans="1:4" ht="31.5" thickBot="1" x14ac:dyDescent="0.4">
      <c r="A96" s="5">
        <v>0</v>
      </c>
      <c r="B96" s="29" t="s">
        <v>100</v>
      </c>
      <c r="C96" s="9">
        <v>1</v>
      </c>
      <c r="D96" s="23">
        <f>C96*A96</f>
        <v>0</v>
      </c>
    </row>
    <row r="97" spans="1:4" ht="16" thickBot="1" x14ac:dyDescent="0.4">
      <c r="A97" s="5">
        <v>0</v>
      </c>
      <c r="B97" s="1" t="s">
        <v>101</v>
      </c>
      <c r="C97" s="9">
        <v>1</v>
      </c>
      <c r="D97" s="23">
        <f>C97*A97</f>
        <v>0</v>
      </c>
    </row>
    <row r="98" spans="1:4" ht="31.5" thickBot="1" x14ac:dyDescent="0.4">
      <c r="A98" s="5">
        <v>0</v>
      </c>
      <c r="B98" s="1" t="s">
        <v>102</v>
      </c>
      <c r="C98" s="9">
        <v>1</v>
      </c>
      <c r="D98" s="23">
        <f>C98*A98</f>
        <v>0</v>
      </c>
    </row>
    <row r="99" spans="1:4" ht="16" thickBot="1" x14ac:dyDescent="0.4">
      <c r="A99" s="5">
        <v>0</v>
      </c>
      <c r="B99" s="1" t="s">
        <v>103</v>
      </c>
      <c r="C99" s="9">
        <v>1</v>
      </c>
      <c r="D99" s="23">
        <f>C99*A99</f>
        <v>0</v>
      </c>
    </row>
    <row r="100" spans="1:4" ht="16" thickBot="1" x14ac:dyDescent="0.4">
      <c r="B100" s="6" t="s">
        <v>104</v>
      </c>
      <c r="C100" s="7"/>
    </row>
    <row r="101" spans="1:4" ht="31.5" thickBot="1" x14ac:dyDescent="0.4">
      <c r="A101" s="5">
        <v>0</v>
      </c>
      <c r="B101" s="1" t="s">
        <v>105</v>
      </c>
      <c r="C101" s="9">
        <v>1</v>
      </c>
      <c r="D101" s="23">
        <f>C101*A101</f>
        <v>0</v>
      </c>
    </row>
    <row r="102" spans="1:4" ht="31.5" thickBot="1" x14ac:dyDescent="0.4">
      <c r="A102" s="5">
        <v>0</v>
      </c>
      <c r="B102" s="1" t="s">
        <v>106</v>
      </c>
      <c r="C102" s="9">
        <v>1</v>
      </c>
      <c r="D102" s="23">
        <f>C102*A102</f>
        <v>0</v>
      </c>
    </row>
    <row r="103" spans="1:4" ht="16" thickBot="1" x14ac:dyDescent="0.4">
      <c r="A103" s="5">
        <v>0</v>
      </c>
      <c r="B103" s="1" t="s">
        <v>107</v>
      </c>
      <c r="C103" s="9">
        <v>1</v>
      </c>
      <c r="D103" s="23">
        <f>C103*A103</f>
        <v>0</v>
      </c>
    </row>
    <row r="104" spans="1:4" ht="31.5" thickBot="1" x14ac:dyDescent="0.4">
      <c r="A104" s="5">
        <v>0</v>
      </c>
      <c r="B104" s="1" t="s">
        <v>108</v>
      </c>
      <c r="C104" s="9">
        <v>1</v>
      </c>
      <c r="D104" s="23">
        <f>C104*A104</f>
        <v>0</v>
      </c>
    </row>
    <row r="105" spans="1:4" ht="16" thickBot="1" x14ac:dyDescent="0.4">
      <c r="B105" s="6" t="s">
        <v>109</v>
      </c>
      <c r="C105" s="7"/>
    </row>
    <row r="106" spans="1:4" ht="31.5" thickBot="1" x14ac:dyDescent="0.4">
      <c r="A106" s="5">
        <v>0</v>
      </c>
      <c r="B106" s="1" t="s">
        <v>110</v>
      </c>
      <c r="C106" s="9">
        <v>1</v>
      </c>
      <c r="D106" s="23">
        <f t="shared" ref="D106:D112" si="4">C106*A106</f>
        <v>0</v>
      </c>
    </row>
    <row r="107" spans="1:4" ht="16" thickBot="1" x14ac:dyDescent="0.4">
      <c r="A107" s="5">
        <v>0</v>
      </c>
      <c r="B107" s="1" t="s">
        <v>111</v>
      </c>
      <c r="C107" s="9">
        <v>1</v>
      </c>
      <c r="D107" s="23">
        <f t="shared" si="4"/>
        <v>0</v>
      </c>
    </row>
    <row r="108" spans="1:4" ht="16" thickBot="1" x14ac:dyDescent="0.4">
      <c r="A108" s="5">
        <v>0</v>
      </c>
      <c r="B108" s="1" t="s">
        <v>112</v>
      </c>
      <c r="C108" s="9">
        <v>1</v>
      </c>
      <c r="D108" s="23">
        <f t="shared" si="4"/>
        <v>0</v>
      </c>
    </row>
    <row r="109" spans="1:4" ht="248.5" thickBot="1" x14ac:dyDescent="0.4">
      <c r="A109" s="5">
        <v>0</v>
      </c>
      <c r="B109" s="37" t="s">
        <v>216</v>
      </c>
      <c r="C109" s="9">
        <v>1</v>
      </c>
      <c r="D109" s="23">
        <f t="shared" si="4"/>
        <v>0</v>
      </c>
    </row>
    <row r="110" spans="1:4" ht="16" thickBot="1" x14ac:dyDescent="0.4">
      <c r="A110" s="5">
        <v>0</v>
      </c>
      <c r="B110" s="29" t="s">
        <v>113</v>
      </c>
      <c r="C110" s="9">
        <v>1</v>
      </c>
      <c r="D110" s="23">
        <f t="shared" si="4"/>
        <v>0</v>
      </c>
    </row>
    <row r="111" spans="1:4" ht="16" thickBot="1" x14ac:dyDescent="0.4">
      <c r="A111" s="5">
        <v>0</v>
      </c>
      <c r="B111" s="1" t="s">
        <v>114</v>
      </c>
      <c r="C111" s="9">
        <v>1</v>
      </c>
      <c r="D111" s="23">
        <f t="shared" si="4"/>
        <v>0</v>
      </c>
    </row>
    <row r="112" spans="1:4" ht="16" thickBot="1" x14ac:dyDescent="0.4">
      <c r="A112" s="5">
        <v>0</v>
      </c>
      <c r="B112" s="31" t="s">
        <v>115</v>
      </c>
      <c r="C112" s="32">
        <v>1</v>
      </c>
      <c r="D112" s="23">
        <f t="shared" si="4"/>
        <v>0</v>
      </c>
    </row>
    <row r="113" spans="1:4" ht="16" thickBot="1" x14ac:dyDescent="0.4">
      <c r="B113" s="24" t="s">
        <v>7</v>
      </c>
      <c r="C113" s="27">
        <f>SUM(C68:C112)</f>
        <v>40</v>
      </c>
      <c r="D113" s="23">
        <f>SUM(D68:D112)</f>
        <v>0</v>
      </c>
    </row>
    <row r="114" spans="1:4" ht="16" thickBot="1" x14ac:dyDescent="0.4">
      <c r="B114" s="26" t="s">
        <v>117</v>
      </c>
      <c r="C114" s="28">
        <f>C113*35/C113</f>
        <v>35</v>
      </c>
      <c r="D114" s="23">
        <f>ROUNDDOWN(D113*35/C113,0)</f>
        <v>0</v>
      </c>
    </row>
    <row r="116" spans="1:4" ht="20.5" thickBot="1" x14ac:dyDescent="0.4">
      <c r="B116" s="22" t="s">
        <v>118</v>
      </c>
    </row>
    <row r="117" spans="1:4" ht="16" thickBot="1" x14ac:dyDescent="0.4">
      <c r="B117" s="6" t="s">
        <v>13</v>
      </c>
      <c r="C117" s="7"/>
    </row>
    <row r="118" spans="1:4" ht="31.5" thickBot="1" x14ac:dyDescent="0.4">
      <c r="A118" s="5">
        <v>0</v>
      </c>
      <c r="B118" s="1" t="s">
        <v>119</v>
      </c>
      <c r="C118" s="9">
        <v>1</v>
      </c>
      <c r="D118" s="23">
        <f>C118*A118</f>
        <v>0</v>
      </c>
    </row>
    <row r="119" spans="1:4" ht="16" thickBot="1" x14ac:dyDescent="0.4">
      <c r="B119" s="6" t="s">
        <v>5</v>
      </c>
      <c r="C119" s="7"/>
    </row>
    <row r="120" spans="1:4" ht="31.5" thickBot="1" x14ac:dyDescent="0.4">
      <c r="A120" s="5">
        <v>0</v>
      </c>
      <c r="B120" s="1" t="s">
        <v>120</v>
      </c>
      <c r="C120" s="9">
        <v>1</v>
      </c>
      <c r="D120" s="23">
        <f>C120*A120</f>
        <v>0</v>
      </c>
    </row>
    <row r="121" spans="1:4" ht="16" thickBot="1" x14ac:dyDescent="0.4">
      <c r="B121" s="24" t="s">
        <v>121</v>
      </c>
      <c r="C121" s="7"/>
    </row>
    <row r="122" spans="1:4" ht="16" thickBot="1" x14ac:dyDescent="0.4">
      <c r="A122" s="5">
        <v>0</v>
      </c>
      <c r="B122" s="1" t="s">
        <v>122</v>
      </c>
      <c r="C122" s="9">
        <v>1</v>
      </c>
      <c r="D122" s="23">
        <f>C122*A122</f>
        <v>0</v>
      </c>
    </row>
    <row r="123" spans="1:4" ht="16" thickBot="1" x14ac:dyDescent="0.4">
      <c r="A123" s="5">
        <v>0</v>
      </c>
      <c r="B123" s="1" t="s">
        <v>123</v>
      </c>
      <c r="C123" s="9">
        <v>1</v>
      </c>
      <c r="D123" s="23">
        <f>C123*A123</f>
        <v>0</v>
      </c>
    </row>
    <row r="124" spans="1:4" ht="16" thickBot="1" x14ac:dyDescent="0.4">
      <c r="B124" s="24" t="s">
        <v>124</v>
      </c>
      <c r="C124" s="7"/>
    </row>
    <row r="125" spans="1:4" ht="16" thickBot="1" x14ac:dyDescent="0.4">
      <c r="A125" s="5">
        <v>0</v>
      </c>
      <c r="B125" s="1" t="s">
        <v>125</v>
      </c>
      <c r="C125" s="9">
        <v>1</v>
      </c>
      <c r="D125" s="23">
        <f>C125*A125</f>
        <v>0</v>
      </c>
    </row>
    <row r="126" spans="1:4" ht="16" thickBot="1" x14ac:dyDescent="0.4">
      <c r="A126" s="5">
        <v>0</v>
      </c>
      <c r="B126" s="1" t="s">
        <v>126</v>
      </c>
      <c r="C126" s="9">
        <v>1</v>
      </c>
      <c r="D126" s="23">
        <f>C126*A126</f>
        <v>0</v>
      </c>
    </row>
    <row r="127" spans="1:4" ht="16" thickBot="1" x14ac:dyDescent="0.4">
      <c r="A127" s="5">
        <v>0</v>
      </c>
      <c r="B127" s="1" t="s">
        <v>127</v>
      </c>
      <c r="C127" s="9">
        <v>1</v>
      </c>
      <c r="D127" s="23">
        <f>C127*A127</f>
        <v>0</v>
      </c>
    </row>
    <row r="128" spans="1:4" ht="16" thickBot="1" x14ac:dyDescent="0.4">
      <c r="A128" s="5">
        <v>0</v>
      </c>
      <c r="B128" s="1" t="s">
        <v>128</v>
      </c>
      <c r="C128" s="9">
        <v>1</v>
      </c>
      <c r="D128" s="23">
        <f>C128*A128</f>
        <v>0</v>
      </c>
    </row>
    <row r="129" spans="1:4" ht="16" thickBot="1" x14ac:dyDescent="0.4">
      <c r="B129" s="24" t="s">
        <v>129</v>
      </c>
      <c r="C129" s="7"/>
    </row>
    <row r="130" spans="1:4" ht="31.5" thickBot="1" x14ac:dyDescent="0.4">
      <c r="A130" s="5">
        <v>0</v>
      </c>
      <c r="B130" s="1" t="s">
        <v>130</v>
      </c>
      <c r="C130" s="9">
        <v>1</v>
      </c>
      <c r="D130" s="23">
        <f>C130*A130</f>
        <v>0</v>
      </c>
    </row>
    <row r="131" spans="1:4" ht="31.5" thickBot="1" x14ac:dyDescent="0.4">
      <c r="A131" s="5">
        <v>0</v>
      </c>
      <c r="B131" s="1" t="s">
        <v>131</v>
      </c>
      <c r="C131" s="9">
        <v>1</v>
      </c>
      <c r="D131" s="23">
        <f>C131*A131</f>
        <v>0</v>
      </c>
    </row>
    <row r="132" spans="1:4" ht="16" thickBot="1" x14ac:dyDescent="0.4">
      <c r="A132" s="5">
        <v>0</v>
      </c>
      <c r="B132" s="1" t="s">
        <v>132</v>
      </c>
      <c r="C132" s="9">
        <v>1</v>
      </c>
      <c r="D132" s="23">
        <f>C132*A132</f>
        <v>0</v>
      </c>
    </row>
    <row r="133" spans="1:4" ht="16" thickBot="1" x14ac:dyDescent="0.4">
      <c r="A133" s="5">
        <v>0</v>
      </c>
      <c r="B133" s="1" t="s">
        <v>133</v>
      </c>
      <c r="C133" s="9">
        <v>1</v>
      </c>
      <c r="D133" s="23">
        <f>C133*A133</f>
        <v>0</v>
      </c>
    </row>
    <row r="134" spans="1:4" ht="16" thickBot="1" x14ac:dyDescent="0.4">
      <c r="B134" s="24" t="s">
        <v>134</v>
      </c>
      <c r="C134" s="7"/>
    </row>
    <row r="135" spans="1:4" ht="16" thickBot="1" x14ac:dyDescent="0.4">
      <c r="A135" s="5">
        <v>0</v>
      </c>
      <c r="B135" s="1" t="s">
        <v>135</v>
      </c>
      <c r="C135" s="9">
        <v>1</v>
      </c>
      <c r="D135" s="23">
        <f>C135*A135</f>
        <v>0</v>
      </c>
    </row>
    <row r="136" spans="1:4" ht="16" thickBot="1" x14ac:dyDescent="0.4">
      <c r="A136" s="5">
        <v>0</v>
      </c>
      <c r="B136" s="1" t="s">
        <v>136</v>
      </c>
      <c r="C136" s="9">
        <v>1</v>
      </c>
      <c r="D136" s="23">
        <f>C136*A136</f>
        <v>0</v>
      </c>
    </row>
    <row r="137" spans="1:4" ht="16" thickBot="1" x14ac:dyDescent="0.4">
      <c r="A137" s="5">
        <v>0</v>
      </c>
      <c r="B137" s="1" t="s">
        <v>137</v>
      </c>
      <c r="C137" s="9">
        <v>1</v>
      </c>
      <c r="D137" s="23">
        <f>C137*A137</f>
        <v>0</v>
      </c>
    </row>
    <row r="138" spans="1:4" ht="16" thickBot="1" x14ac:dyDescent="0.4">
      <c r="A138" s="5">
        <v>0</v>
      </c>
      <c r="B138" s="1" t="s">
        <v>138</v>
      </c>
      <c r="C138" s="9">
        <v>1</v>
      </c>
      <c r="D138" s="23">
        <f>C138*A138</f>
        <v>0</v>
      </c>
    </row>
    <row r="139" spans="1:4" ht="16" thickBot="1" x14ac:dyDescent="0.4">
      <c r="B139" s="24" t="s">
        <v>139</v>
      </c>
      <c r="C139" s="7"/>
    </row>
    <row r="140" spans="1:4" ht="16" thickBot="1" x14ac:dyDescent="0.4">
      <c r="A140" s="5">
        <v>0</v>
      </c>
      <c r="B140" s="1" t="s">
        <v>140</v>
      </c>
      <c r="C140" s="9">
        <v>1</v>
      </c>
      <c r="D140" s="23">
        <f>C140*A140</f>
        <v>0</v>
      </c>
    </row>
    <row r="141" spans="1:4" ht="16" thickBot="1" x14ac:dyDescent="0.4">
      <c r="A141" s="5">
        <v>0</v>
      </c>
      <c r="B141" s="1" t="s">
        <v>141</v>
      </c>
      <c r="C141" s="9">
        <v>1</v>
      </c>
      <c r="D141" s="23">
        <f>C141*A141</f>
        <v>0</v>
      </c>
    </row>
    <row r="142" spans="1:4" ht="16" thickBot="1" x14ac:dyDescent="0.4">
      <c r="A142" s="5">
        <v>0</v>
      </c>
      <c r="B142" s="1" t="s">
        <v>142</v>
      </c>
      <c r="C142" s="9">
        <v>1</v>
      </c>
      <c r="D142" s="23">
        <f>C142*A142</f>
        <v>0</v>
      </c>
    </row>
    <row r="143" spans="1:4" ht="16" thickBot="1" x14ac:dyDescent="0.4">
      <c r="B143" s="24" t="s">
        <v>143</v>
      </c>
      <c r="C143" s="7"/>
    </row>
    <row r="144" spans="1:4" ht="16" thickBot="1" x14ac:dyDescent="0.4">
      <c r="A144" s="5">
        <v>0</v>
      </c>
      <c r="B144" s="1" t="s">
        <v>144</v>
      </c>
      <c r="C144" s="9">
        <v>1</v>
      </c>
      <c r="D144" s="23">
        <f>C144*A144</f>
        <v>0</v>
      </c>
    </row>
    <row r="145" spans="1:4" ht="16" thickBot="1" x14ac:dyDescent="0.4">
      <c r="A145" s="5">
        <v>0</v>
      </c>
      <c r="B145" s="1" t="s">
        <v>145</v>
      </c>
      <c r="C145" s="9">
        <v>1</v>
      </c>
      <c r="D145" s="23">
        <f>C145*A145</f>
        <v>0</v>
      </c>
    </row>
    <row r="146" spans="1:4" ht="31.5" thickBot="1" x14ac:dyDescent="0.4">
      <c r="A146" s="5">
        <v>0</v>
      </c>
      <c r="B146" s="1" t="s">
        <v>146</v>
      </c>
      <c r="C146" s="9">
        <v>1</v>
      </c>
      <c r="D146" s="23">
        <f>C146*A146</f>
        <v>0</v>
      </c>
    </row>
    <row r="147" spans="1:4" ht="16" thickBot="1" x14ac:dyDescent="0.4">
      <c r="A147" s="5">
        <v>0</v>
      </c>
      <c r="B147" s="1" t="s">
        <v>147</v>
      </c>
      <c r="C147" s="9">
        <v>1</v>
      </c>
      <c r="D147" s="23">
        <f>C147*A147</f>
        <v>0</v>
      </c>
    </row>
    <row r="148" spans="1:4" ht="16" thickBot="1" x14ac:dyDescent="0.4">
      <c r="B148" s="24" t="s">
        <v>148</v>
      </c>
      <c r="C148" s="7"/>
    </row>
    <row r="149" spans="1:4" ht="16" thickBot="1" x14ac:dyDescent="0.4">
      <c r="A149" s="5">
        <v>0</v>
      </c>
      <c r="B149" s="1" t="s">
        <v>149</v>
      </c>
      <c r="C149" s="9">
        <v>1</v>
      </c>
      <c r="D149" s="23">
        <f>C149*A149</f>
        <v>0</v>
      </c>
    </row>
    <row r="150" spans="1:4" ht="16" thickBot="1" x14ac:dyDescent="0.4">
      <c r="A150" s="5">
        <v>0</v>
      </c>
      <c r="B150" s="1" t="s">
        <v>150</v>
      </c>
      <c r="C150" s="9">
        <v>1</v>
      </c>
      <c r="D150" s="23">
        <f>C150*A150</f>
        <v>0</v>
      </c>
    </row>
    <row r="151" spans="1:4" ht="31.5" thickBot="1" x14ac:dyDescent="0.4">
      <c r="A151" s="5">
        <v>0</v>
      </c>
      <c r="B151" s="1" t="s">
        <v>151</v>
      </c>
      <c r="C151" s="9">
        <v>2</v>
      </c>
      <c r="D151" s="23">
        <f>C151*A151</f>
        <v>0</v>
      </c>
    </row>
    <row r="152" spans="1:4" ht="16" thickBot="1" x14ac:dyDescent="0.4">
      <c r="A152" s="5">
        <v>0</v>
      </c>
      <c r="B152" s="1" t="s">
        <v>152</v>
      </c>
      <c r="C152" s="9">
        <v>1</v>
      </c>
      <c r="D152" s="23">
        <f>C152*A152</f>
        <v>0</v>
      </c>
    </row>
    <row r="153" spans="1:4" ht="16" thickBot="1" x14ac:dyDescent="0.4">
      <c r="B153" s="24" t="s">
        <v>153</v>
      </c>
      <c r="C153" s="7"/>
    </row>
    <row r="154" spans="1:4" ht="31.5" thickBot="1" x14ac:dyDescent="0.4">
      <c r="A154" s="5">
        <v>0</v>
      </c>
      <c r="B154" s="1" t="s">
        <v>154</v>
      </c>
      <c r="C154" s="9">
        <v>1</v>
      </c>
      <c r="D154" s="23">
        <f t="shared" ref="D154:D160" si="5">C154*A154</f>
        <v>0</v>
      </c>
    </row>
    <row r="155" spans="1:4" ht="16" thickBot="1" x14ac:dyDescent="0.4">
      <c r="A155" s="5">
        <v>0</v>
      </c>
      <c r="B155" s="1" t="s">
        <v>155</v>
      </c>
      <c r="C155" s="9">
        <v>1</v>
      </c>
      <c r="D155" s="23">
        <f t="shared" si="5"/>
        <v>0</v>
      </c>
    </row>
    <row r="156" spans="1:4" ht="16" thickBot="1" x14ac:dyDescent="0.4">
      <c r="A156" s="5">
        <v>0</v>
      </c>
      <c r="B156" s="1" t="s">
        <v>156</v>
      </c>
      <c r="C156" s="9">
        <v>1</v>
      </c>
      <c r="D156" s="23">
        <f t="shared" si="5"/>
        <v>0</v>
      </c>
    </row>
    <row r="157" spans="1:4" ht="16" thickBot="1" x14ac:dyDescent="0.4">
      <c r="A157" s="5">
        <v>0</v>
      </c>
      <c r="B157" s="1" t="s">
        <v>157</v>
      </c>
      <c r="C157" s="9">
        <v>1</v>
      </c>
      <c r="D157" s="23">
        <f t="shared" si="5"/>
        <v>0</v>
      </c>
    </row>
    <row r="158" spans="1:4" ht="16" thickBot="1" x14ac:dyDescent="0.4">
      <c r="A158" s="5">
        <v>0</v>
      </c>
      <c r="B158" s="1" t="s">
        <v>158</v>
      </c>
      <c r="C158" s="9">
        <v>1</v>
      </c>
      <c r="D158" s="23">
        <f t="shared" si="5"/>
        <v>0</v>
      </c>
    </row>
    <row r="159" spans="1:4" ht="16.899999999999999" customHeight="1" thickBot="1" x14ac:dyDescent="0.4">
      <c r="A159" s="5">
        <v>0</v>
      </c>
      <c r="B159" s="1" t="s">
        <v>159</v>
      </c>
      <c r="C159" s="9">
        <v>1</v>
      </c>
      <c r="D159" s="23">
        <f t="shared" si="5"/>
        <v>0</v>
      </c>
    </row>
    <row r="160" spans="1:4" ht="18.649999999999999" customHeight="1" thickBot="1" x14ac:dyDescent="0.4">
      <c r="A160" s="5">
        <v>0</v>
      </c>
      <c r="B160" s="1" t="s">
        <v>160</v>
      </c>
      <c r="C160" s="9">
        <v>1</v>
      </c>
      <c r="D160" s="23">
        <f t="shared" si="5"/>
        <v>0</v>
      </c>
    </row>
    <row r="161" spans="1:4" ht="16" thickBot="1" x14ac:dyDescent="0.4">
      <c r="B161" s="24" t="s">
        <v>161</v>
      </c>
      <c r="C161" s="27">
        <f>SUM(C118:C160)</f>
        <v>35</v>
      </c>
      <c r="D161" s="23">
        <f>SUM(D118:D160)</f>
        <v>0</v>
      </c>
    </row>
    <row r="163" spans="1:4" ht="20.5" thickBot="1" x14ac:dyDescent="0.4">
      <c r="B163" s="22" t="s">
        <v>162</v>
      </c>
    </row>
    <row r="164" spans="1:4" ht="16" thickBot="1" x14ac:dyDescent="0.4">
      <c r="B164" s="13" t="s">
        <v>163</v>
      </c>
      <c r="C164" s="7"/>
    </row>
    <row r="165" spans="1:4" ht="16" thickBot="1" x14ac:dyDescent="0.4">
      <c r="A165" s="5">
        <v>0</v>
      </c>
      <c r="B165" s="39" t="s">
        <v>218</v>
      </c>
      <c r="C165" s="9">
        <v>1</v>
      </c>
      <c r="D165" s="23">
        <f>C165*A165</f>
        <v>0</v>
      </c>
    </row>
    <row r="166" spans="1:4" ht="16" thickBot="1" x14ac:dyDescent="0.4">
      <c r="B166" s="13" t="s">
        <v>6</v>
      </c>
      <c r="C166" s="7"/>
    </row>
    <row r="167" spans="1:4" ht="44.25" customHeight="1" thickBot="1" x14ac:dyDescent="0.4">
      <c r="A167" s="5">
        <v>0</v>
      </c>
      <c r="B167" s="1" t="s">
        <v>164</v>
      </c>
      <c r="C167" s="9">
        <v>1</v>
      </c>
      <c r="D167" s="23">
        <f>C167*A167</f>
        <v>0</v>
      </c>
    </row>
    <row r="168" spans="1:4" ht="31.5" thickBot="1" x14ac:dyDescent="0.4">
      <c r="A168" s="5">
        <v>0</v>
      </c>
      <c r="B168" s="1" t="s">
        <v>165</v>
      </c>
      <c r="C168" s="9">
        <v>1</v>
      </c>
      <c r="D168" s="23">
        <f>C168*A168</f>
        <v>0</v>
      </c>
    </row>
    <row r="169" spans="1:4" ht="16" thickBot="1" x14ac:dyDescent="0.4">
      <c r="B169" s="6" t="s">
        <v>11</v>
      </c>
      <c r="C169" s="7"/>
    </row>
    <row r="170" spans="1:4" ht="31.5" thickBot="1" x14ac:dyDescent="0.4">
      <c r="A170" s="5">
        <v>0</v>
      </c>
      <c r="B170" s="1" t="s">
        <v>166</v>
      </c>
      <c r="C170" s="9">
        <v>1</v>
      </c>
      <c r="D170" s="23">
        <f>C170*A170</f>
        <v>0</v>
      </c>
    </row>
    <row r="171" spans="1:4" ht="31.5" thickBot="1" x14ac:dyDescent="0.4">
      <c r="A171" s="5">
        <v>0</v>
      </c>
      <c r="B171" s="1" t="s">
        <v>167</v>
      </c>
      <c r="C171" s="9">
        <v>2</v>
      </c>
      <c r="D171" s="23">
        <f>C171*A171</f>
        <v>0</v>
      </c>
    </row>
    <row r="172" spans="1:4" ht="16" thickBot="1" x14ac:dyDescent="0.4">
      <c r="B172" s="6" t="s">
        <v>168</v>
      </c>
      <c r="C172" s="7"/>
    </row>
    <row r="173" spans="1:4" ht="16" thickBot="1" x14ac:dyDescent="0.4">
      <c r="A173" s="5">
        <v>0</v>
      </c>
      <c r="B173" s="1" t="s">
        <v>169</v>
      </c>
      <c r="C173" s="9">
        <v>1</v>
      </c>
      <c r="D173" s="23">
        <f t="shared" ref="D173:D178" si="6">C173*A173</f>
        <v>0</v>
      </c>
    </row>
    <row r="174" spans="1:4" ht="31.5" thickBot="1" x14ac:dyDescent="0.4">
      <c r="A174" s="5">
        <v>0</v>
      </c>
      <c r="B174" s="1" t="s">
        <v>170</v>
      </c>
      <c r="C174" s="9">
        <v>1</v>
      </c>
      <c r="D174" s="23">
        <f t="shared" si="6"/>
        <v>0</v>
      </c>
    </row>
    <row r="175" spans="1:4" ht="31.5" thickBot="1" x14ac:dyDescent="0.4">
      <c r="A175" s="5">
        <v>0</v>
      </c>
      <c r="B175" s="1" t="s">
        <v>171</v>
      </c>
      <c r="C175" s="9">
        <v>1</v>
      </c>
      <c r="D175" s="23">
        <f t="shared" si="6"/>
        <v>0</v>
      </c>
    </row>
    <row r="176" spans="1:4" ht="16" thickBot="1" x14ac:dyDescent="0.4">
      <c r="A176" s="5">
        <v>0</v>
      </c>
      <c r="B176" s="1" t="s">
        <v>172</v>
      </c>
      <c r="C176" s="9">
        <v>1</v>
      </c>
      <c r="D176" s="23">
        <f t="shared" si="6"/>
        <v>0</v>
      </c>
    </row>
    <row r="177" spans="1:4" ht="16" thickBot="1" x14ac:dyDescent="0.4">
      <c r="A177" s="5">
        <v>0</v>
      </c>
      <c r="B177" s="1" t="s">
        <v>173</v>
      </c>
      <c r="C177" s="9">
        <v>1</v>
      </c>
      <c r="D177" s="23">
        <f t="shared" si="6"/>
        <v>0</v>
      </c>
    </row>
    <row r="178" spans="1:4" ht="31.5" thickBot="1" x14ac:dyDescent="0.4">
      <c r="A178" s="5">
        <v>0</v>
      </c>
      <c r="B178" s="1" t="s">
        <v>174</v>
      </c>
      <c r="C178" s="9">
        <v>1</v>
      </c>
      <c r="D178" s="23">
        <f t="shared" si="6"/>
        <v>0</v>
      </c>
    </row>
    <row r="179" spans="1:4" ht="16" thickBot="1" x14ac:dyDescent="0.4">
      <c r="B179" s="6" t="s">
        <v>175</v>
      </c>
      <c r="C179" s="7"/>
    </row>
    <row r="180" spans="1:4" ht="16" thickBot="1" x14ac:dyDescent="0.4">
      <c r="A180" s="5">
        <v>0</v>
      </c>
      <c r="B180" s="1" t="s">
        <v>176</v>
      </c>
      <c r="C180" s="9">
        <v>2</v>
      </c>
      <c r="D180" s="23">
        <f>C180*A180</f>
        <v>0</v>
      </c>
    </row>
    <row r="181" spans="1:4" ht="16" thickBot="1" x14ac:dyDescent="0.4">
      <c r="A181" s="5">
        <v>0</v>
      </c>
      <c r="B181" s="1" t="s">
        <v>177</v>
      </c>
      <c r="C181" s="9">
        <v>2</v>
      </c>
      <c r="D181" s="23">
        <f>C181*A181</f>
        <v>0</v>
      </c>
    </row>
    <row r="182" spans="1:4" ht="16" thickBot="1" x14ac:dyDescent="0.4">
      <c r="A182" s="5">
        <v>0</v>
      </c>
      <c r="B182" s="1" t="s">
        <v>178</v>
      </c>
      <c r="C182" s="9">
        <v>1</v>
      </c>
      <c r="D182" s="23">
        <f>C182*A182</f>
        <v>0</v>
      </c>
    </row>
    <row r="183" spans="1:4" ht="20.25" customHeight="1" thickBot="1" x14ac:dyDescent="0.4">
      <c r="B183" s="6" t="s">
        <v>179</v>
      </c>
      <c r="C183" s="7"/>
    </row>
    <row r="184" spans="1:4" ht="31.5" thickBot="1" x14ac:dyDescent="0.4">
      <c r="A184" s="5">
        <v>0</v>
      </c>
      <c r="B184" s="33" t="s">
        <v>180</v>
      </c>
      <c r="C184" s="35">
        <v>1</v>
      </c>
      <c r="D184" s="23">
        <f>C184*A184</f>
        <v>0</v>
      </c>
    </row>
    <row r="185" spans="1:4" ht="31.5" thickBot="1" x14ac:dyDescent="0.4">
      <c r="A185" s="5">
        <v>0</v>
      </c>
      <c r="B185" s="1" t="s">
        <v>181</v>
      </c>
      <c r="C185" s="9">
        <v>1</v>
      </c>
      <c r="D185" s="23">
        <f>C185*A185</f>
        <v>0</v>
      </c>
    </row>
    <row r="186" spans="1:4" ht="31.5" thickBot="1" x14ac:dyDescent="0.4">
      <c r="A186" s="5">
        <v>0</v>
      </c>
      <c r="B186" s="1" t="s">
        <v>182</v>
      </c>
      <c r="C186" s="9">
        <v>1</v>
      </c>
      <c r="D186" s="23">
        <f>C186*A186</f>
        <v>0</v>
      </c>
    </row>
    <row r="187" spans="1:4" ht="16" thickBot="1" x14ac:dyDescent="0.4">
      <c r="A187" s="5">
        <v>0</v>
      </c>
      <c r="B187" s="1" t="s">
        <v>183</v>
      </c>
      <c r="C187" s="9">
        <v>1</v>
      </c>
      <c r="D187" s="23">
        <f>C187*A187</f>
        <v>0</v>
      </c>
    </row>
    <row r="188" spans="1:4" ht="31.5" thickBot="1" x14ac:dyDescent="0.4">
      <c r="A188" s="5">
        <v>0</v>
      </c>
      <c r="B188" s="1" t="s">
        <v>184</v>
      </c>
      <c r="C188" s="9">
        <v>1</v>
      </c>
      <c r="D188" s="23">
        <f>C188*A188</f>
        <v>0</v>
      </c>
    </row>
    <row r="189" spans="1:4" ht="16" thickBot="1" x14ac:dyDescent="0.4">
      <c r="B189" s="6" t="s">
        <v>185</v>
      </c>
      <c r="C189" s="7"/>
    </row>
    <row r="190" spans="1:4" ht="31.5" thickBot="1" x14ac:dyDescent="0.4">
      <c r="A190" s="5">
        <v>0</v>
      </c>
      <c r="B190" s="1" t="s">
        <v>186</v>
      </c>
      <c r="C190" s="9">
        <v>1</v>
      </c>
      <c r="D190" s="23">
        <f t="shared" ref="D190:D206" si="7">C190*A190</f>
        <v>0</v>
      </c>
    </row>
    <row r="191" spans="1:4" ht="31.5" thickBot="1" x14ac:dyDescent="0.4">
      <c r="A191" s="5">
        <v>0</v>
      </c>
      <c r="B191" s="1" t="s">
        <v>187</v>
      </c>
      <c r="C191" s="34">
        <v>1</v>
      </c>
      <c r="D191" s="23">
        <f t="shared" si="7"/>
        <v>0</v>
      </c>
    </row>
    <row r="192" spans="1:4" ht="31.5" thickBot="1" x14ac:dyDescent="0.4">
      <c r="A192" s="5">
        <v>0</v>
      </c>
      <c r="B192" s="1" t="s">
        <v>188</v>
      </c>
      <c r="C192" s="9">
        <v>1</v>
      </c>
      <c r="D192" s="23">
        <f t="shared" si="7"/>
        <v>0</v>
      </c>
    </row>
    <row r="193" spans="1:4" ht="31.5" thickBot="1" x14ac:dyDescent="0.4">
      <c r="A193" s="5">
        <v>0</v>
      </c>
      <c r="B193" s="1" t="s">
        <v>189</v>
      </c>
      <c r="C193" s="9">
        <v>1</v>
      </c>
      <c r="D193" s="23">
        <f t="shared" si="7"/>
        <v>0</v>
      </c>
    </row>
    <row r="194" spans="1:4" ht="31.5" thickBot="1" x14ac:dyDescent="0.4">
      <c r="A194" s="5">
        <v>0</v>
      </c>
      <c r="B194" s="1" t="s">
        <v>190</v>
      </c>
      <c r="C194" s="9">
        <v>1</v>
      </c>
      <c r="D194" s="23">
        <f t="shared" si="7"/>
        <v>0</v>
      </c>
    </row>
    <row r="195" spans="1:4" ht="31.5" thickBot="1" x14ac:dyDescent="0.4">
      <c r="A195" s="5">
        <v>0</v>
      </c>
      <c r="B195" s="1" t="s">
        <v>191</v>
      </c>
      <c r="C195" s="34">
        <v>1</v>
      </c>
      <c r="D195" s="23">
        <f t="shared" si="7"/>
        <v>0</v>
      </c>
    </row>
    <row r="196" spans="1:4" ht="31.5" thickBot="1" x14ac:dyDescent="0.4">
      <c r="A196" s="5">
        <v>0</v>
      </c>
      <c r="B196" s="1" t="s">
        <v>192</v>
      </c>
      <c r="C196" s="9">
        <v>1</v>
      </c>
      <c r="D196" s="23">
        <f t="shared" si="7"/>
        <v>0</v>
      </c>
    </row>
    <row r="197" spans="1:4" ht="31.5" thickBot="1" x14ac:dyDescent="0.4">
      <c r="A197" s="5">
        <v>0</v>
      </c>
      <c r="B197" s="1" t="s">
        <v>193</v>
      </c>
      <c r="C197" s="9">
        <v>1</v>
      </c>
      <c r="D197" s="23">
        <f t="shared" si="7"/>
        <v>0</v>
      </c>
    </row>
    <row r="198" spans="1:4" ht="31.5" thickBot="1" x14ac:dyDescent="0.4">
      <c r="A198" s="5">
        <v>0</v>
      </c>
      <c r="B198" s="1" t="s">
        <v>194</v>
      </c>
      <c r="C198" s="9">
        <v>1</v>
      </c>
      <c r="D198" s="23">
        <f t="shared" si="7"/>
        <v>0</v>
      </c>
    </row>
    <row r="199" spans="1:4" ht="36" customHeight="1" thickBot="1" x14ac:dyDescent="0.4">
      <c r="A199" s="5">
        <v>0</v>
      </c>
      <c r="B199" s="1" t="s">
        <v>195</v>
      </c>
      <c r="C199" s="9">
        <v>1</v>
      </c>
      <c r="D199" s="23">
        <f t="shared" si="7"/>
        <v>0</v>
      </c>
    </row>
    <row r="200" spans="1:4" ht="31.5" thickBot="1" x14ac:dyDescent="0.4">
      <c r="A200" s="5">
        <v>0</v>
      </c>
      <c r="B200" s="1" t="s">
        <v>196</v>
      </c>
      <c r="C200" s="9">
        <v>1</v>
      </c>
      <c r="D200" s="23">
        <f t="shared" si="7"/>
        <v>0</v>
      </c>
    </row>
    <row r="201" spans="1:4" ht="41.25" customHeight="1" thickBot="1" x14ac:dyDescent="0.4">
      <c r="A201" s="5">
        <v>0</v>
      </c>
      <c r="B201" s="1" t="s">
        <v>197</v>
      </c>
      <c r="C201" s="9">
        <v>1</v>
      </c>
      <c r="D201" s="23">
        <f t="shared" si="7"/>
        <v>0</v>
      </c>
    </row>
    <row r="202" spans="1:4" ht="16" thickBot="1" x14ac:dyDescent="0.4">
      <c r="A202" s="5">
        <v>0</v>
      </c>
      <c r="B202" s="1" t="s">
        <v>198</v>
      </c>
      <c r="C202" s="9">
        <v>1</v>
      </c>
      <c r="D202" s="23">
        <f t="shared" si="7"/>
        <v>0</v>
      </c>
    </row>
    <row r="203" spans="1:4" ht="64.5" customHeight="1" thickBot="1" x14ac:dyDescent="0.4">
      <c r="A203" s="5">
        <v>0</v>
      </c>
      <c r="B203" s="1" t="s">
        <v>210</v>
      </c>
      <c r="C203" s="9">
        <v>1</v>
      </c>
      <c r="D203" s="23">
        <f t="shared" si="7"/>
        <v>0</v>
      </c>
    </row>
    <row r="204" spans="1:4" ht="79.5" thickBot="1" x14ac:dyDescent="0.4">
      <c r="A204" s="5">
        <v>0</v>
      </c>
      <c r="B204" s="1" t="s">
        <v>211</v>
      </c>
      <c r="C204" s="9">
        <v>1</v>
      </c>
      <c r="D204" s="23">
        <f t="shared" si="7"/>
        <v>0</v>
      </c>
    </row>
    <row r="205" spans="1:4" ht="31.5" thickBot="1" x14ac:dyDescent="0.4">
      <c r="A205" s="5">
        <v>0</v>
      </c>
      <c r="B205" s="1" t="s">
        <v>199</v>
      </c>
      <c r="C205" s="9">
        <v>1</v>
      </c>
      <c r="D205" s="23">
        <f t="shared" si="7"/>
        <v>0</v>
      </c>
    </row>
    <row r="206" spans="1:4" ht="31.5" thickBot="1" x14ac:dyDescent="0.4">
      <c r="A206" s="5">
        <v>0</v>
      </c>
      <c r="B206" s="1" t="s">
        <v>200</v>
      </c>
      <c r="C206" s="9">
        <v>1</v>
      </c>
      <c r="D206" s="23">
        <f t="shared" si="7"/>
        <v>0</v>
      </c>
    </row>
    <row r="207" spans="1:4" ht="16" thickBot="1" x14ac:dyDescent="0.4">
      <c r="B207" s="6" t="s">
        <v>201</v>
      </c>
      <c r="C207" s="7"/>
    </row>
    <row r="208" spans="1:4" ht="31.5" thickBot="1" x14ac:dyDescent="0.4">
      <c r="A208" s="5">
        <v>0</v>
      </c>
      <c r="B208" s="1" t="s">
        <v>202</v>
      </c>
      <c r="C208" s="9">
        <v>2</v>
      </c>
      <c r="D208" s="23">
        <f t="shared" ref="D208:D215" si="8">C208*A208</f>
        <v>0</v>
      </c>
    </row>
    <row r="209" spans="1:4" ht="16" thickBot="1" x14ac:dyDescent="0.4">
      <c r="A209" s="5">
        <v>0</v>
      </c>
      <c r="B209" s="1" t="s">
        <v>219</v>
      </c>
      <c r="C209" s="9">
        <v>1</v>
      </c>
      <c r="D209" s="23">
        <f t="shared" si="8"/>
        <v>0</v>
      </c>
    </row>
    <row r="210" spans="1:4" ht="16" thickBot="1" x14ac:dyDescent="0.4">
      <c r="A210" s="5">
        <v>0</v>
      </c>
      <c r="B210" s="1" t="s">
        <v>203</v>
      </c>
      <c r="C210" s="9">
        <v>1</v>
      </c>
      <c r="D210" s="23">
        <f t="shared" si="8"/>
        <v>0</v>
      </c>
    </row>
    <row r="211" spans="1:4" ht="31.5" thickBot="1" x14ac:dyDescent="0.4">
      <c r="A211" s="5">
        <v>0</v>
      </c>
      <c r="B211" s="1" t="s">
        <v>204</v>
      </c>
      <c r="C211" s="9">
        <v>1</v>
      </c>
      <c r="D211" s="23">
        <f t="shared" si="8"/>
        <v>0</v>
      </c>
    </row>
    <row r="212" spans="1:4" ht="31.5" thickBot="1" x14ac:dyDescent="0.4">
      <c r="A212" s="5">
        <v>0</v>
      </c>
      <c r="B212" s="1" t="s">
        <v>205</v>
      </c>
      <c r="C212" s="9">
        <v>1</v>
      </c>
      <c r="D212" s="23">
        <f t="shared" si="8"/>
        <v>0</v>
      </c>
    </row>
    <row r="213" spans="1:4" ht="31.5" thickBot="1" x14ac:dyDescent="0.4">
      <c r="A213" s="5">
        <v>0</v>
      </c>
      <c r="B213" s="1" t="s">
        <v>206</v>
      </c>
      <c r="C213" s="9">
        <v>2</v>
      </c>
      <c r="D213" s="23">
        <f t="shared" si="8"/>
        <v>0</v>
      </c>
    </row>
    <row r="214" spans="1:4" ht="31.5" thickBot="1" x14ac:dyDescent="0.4">
      <c r="A214" s="5"/>
      <c r="B214" s="1" t="s">
        <v>207</v>
      </c>
      <c r="C214" s="9">
        <v>2</v>
      </c>
      <c r="D214" s="23">
        <f t="shared" si="8"/>
        <v>0</v>
      </c>
    </row>
    <row r="215" spans="1:4" ht="16" thickBot="1" x14ac:dyDescent="0.4">
      <c r="A215" s="5">
        <v>0</v>
      </c>
      <c r="B215" s="1" t="s">
        <v>208</v>
      </c>
      <c r="C215" s="9">
        <v>1</v>
      </c>
      <c r="D215" s="23">
        <f t="shared" si="8"/>
        <v>0</v>
      </c>
    </row>
    <row r="216" spans="1:4" ht="16" thickBot="1" x14ac:dyDescent="0.4">
      <c r="B216" s="24" t="s">
        <v>161</v>
      </c>
      <c r="C216" s="27">
        <f>SUM(C165:C215)</f>
        <v>50</v>
      </c>
      <c r="D216" s="23">
        <f>SUM(D165:D215)</f>
        <v>0</v>
      </c>
    </row>
    <row r="218" spans="1:4" ht="21" x14ac:dyDescent="0.35">
      <c r="B218" s="14" t="str">
        <f>B5</f>
        <v>1A. Garas Dezső</v>
      </c>
      <c r="C218" s="40">
        <v>35</v>
      </c>
      <c r="D218" s="40">
        <f>IF(C3&lt;&gt;"B",D64,D114)</f>
        <v>0</v>
      </c>
    </row>
    <row r="219" spans="1:4" ht="21" x14ac:dyDescent="0.35">
      <c r="B219" s="14" t="str">
        <f>B66</f>
        <v>1B. Síparadicsomok</v>
      </c>
      <c r="C219" s="41"/>
      <c r="D219" s="41"/>
    </row>
    <row r="220" spans="1:4" ht="21" x14ac:dyDescent="0.35">
      <c r="B220" s="14" t="str">
        <f>B116</f>
        <v>2. Nyílt nap</v>
      </c>
      <c r="C220" s="15">
        <v>35</v>
      </c>
      <c r="D220" s="16">
        <f>D161</f>
        <v>0</v>
      </c>
    </row>
    <row r="221" spans="1:4" ht="21.5" thickBot="1" x14ac:dyDescent="0.4">
      <c r="B221" s="14" t="str">
        <f>B163</f>
        <v>3. Könyvkiadás</v>
      </c>
      <c r="C221" s="15">
        <v>50</v>
      </c>
      <c r="D221" s="17">
        <f>D216</f>
        <v>0</v>
      </c>
    </row>
    <row r="222" spans="1:4" ht="15" thickBot="1" x14ac:dyDescent="0.4">
      <c r="B222" s="10"/>
      <c r="C222" s="11">
        <f>SUM(C218:C221)</f>
        <v>120</v>
      </c>
      <c r="D222" s="12">
        <f>SUM(D218:D221)</f>
        <v>0</v>
      </c>
    </row>
  </sheetData>
  <sheetProtection sheet="1" objects="1" scenarios="1"/>
  <mergeCells count="2">
    <mergeCell ref="C218:C219"/>
    <mergeCell ref="D218:D219"/>
  </mergeCells>
  <dataValidations count="3">
    <dataValidation type="list" showInputMessage="1" showErrorMessage="1" errorTitle="Hibás feladatválasztás" error="Csak az A vagy B betű írható be. Amennyiben üresen marad, az 1.A feladat lesz értékelvel." sqref="C3" xr:uid="{00000000-0002-0000-0100-000000000000}">
      <formula1>"' ,A,B"</formula1>
    </dataValidation>
    <dataValidation type="whole" allowBlank="1" showInputMessage="1" showErrorMessage="1" errorTitle="Hibás adat" error="Csak 0 és 1 értéke lehet a cellának." sqref="A7:A12 A14:A23 A33:A34 A25:A31 A47 A36:A45 A49:A53 A60:A62 A55:A58 A68:A69 A71:A72 A74:A77 A79 A81:A85 A87:A88 A90:A91 A93 A95:A99 A101:A104 A118 A106:A112 A120 A122:A123 A125:A128 A130:A133 A135:A138 A140:A142 A144:A147 A149:A152 A154:A160 A165 A167:A168 A170:A171 A173:A178 A180:A182 A184:A188 A190:A206 A208:A215" xr:uid="{00000000-0002-0000-0100-000001000000}">
      <formula1>0</formula1>
      <formula2>1</formula2>
    </dataValidation>
    <dataValidation type="list" showInputMessage="1" showErrorMessage="1" errorTitle="Hibás feladatválasztás" error="Csak az A vagy B betű írható be. Amennyiben üresen marad, az 1.A feladat lesz értékelvel." sqref="C4" xr:uid="{00000000-0002-0000-0100-000002000000}">
      <formula1>"',Python,C++,C#,Visual Basic,Java,Nincs"</formula1>
    </dataValidation>
  </dataValidations>
  <pageMargins left="0.70866141732283472" right="0.70866141732283472" top="0.74803149606299213" bottom="0.74803149606299213" header="0.31496062992125984" footer="0.31496062992125984"/>
  <pageSetup paperSize="9" scale="99" fitToHeight="0" orientation="portrait" r:id="rId1"/>
  <headerFooter>
    <oddFooter>&amp;L2511 gyakolrati vizsga&amp;C&amp;P/&amp;N&amp;R2025.</oddFooter>
  </headerFooter>
  <rowBreaks count="8" manualBreakCount="8">
    <brk id="23" min="1" max="3" man="1"/>
    <brk id="53" min="1" max="3" man="1"/>
    <brk id="79" min="1" max="3" man="1"/>
    <brk id="99" min="1" max="3" man="1"/>
    <brk id="120" min="1" max="3" man="1"/>
    <brk id="152" min="1" max="3" man="1"/>
    <brk id="182" min="1" max="3" man="1"/>
    <brk id="199" min="1" max="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3</vt:i4>
      </vt:variant>
    </vt:vector>
  </HeadingPairs>
  <TitlesOfParts>
    <vt:vector size="5" baseType="lpstr">
      <vt:lpstr>Használati_útmutató</vt:lpstr>
      <vt:lpstr>Vizsgazo1</vt:lpstr>
      <vt:lpstr>Vizsgazo1!_Hlk179965969</vt:lpstr>
      <vt:lpstr>Vizsgazo1!Nyomtatási_cím</vt:lpstr>
      <vt:lpstr>Vizsgazo1!Nyomtatási_terület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2024-01-10T18:04:39Z</dcterms:created>
  <dcterms:modified xsi:type="dcterms:W3CDTF">2025-05-23T11:42:04Z</dcterms:modified>
</cp:coreProperties>
</file>