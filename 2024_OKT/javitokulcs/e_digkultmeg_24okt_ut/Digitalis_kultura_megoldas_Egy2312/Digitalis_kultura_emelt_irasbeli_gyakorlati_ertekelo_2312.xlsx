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 codeName="ThisWorkbook" defaultThemeVersion="166925"/>
  <xr:revisionPtr revIDLastSave="0" documentId="13_ncr:1_{988619FE-2225-439C-9D54-8AE681141873}" xr6:coauthVersionLast="36" xr6:coauthVersionMax="47" xr10:uidLastSave="{00000000-0000-0000-0000-000000000000}"/>
  <bookViews>
    <workbookView xWindow="-108" yWindow="-108" windowWidth="19416" windowHeight="10296" xr2:uid="{00000000-000D-0000-FFFF-FFFF00000000}"/>
  </bookViews>
  <sheets>
    <sheet name="Használati_útmutató" sheetId="76" r:id="rId1"/>
    <sheet name="Vizsgazo1" sheetId="77" r:id="rId2"/>
  </sheets>
  <definedNames>
    <definedName name="_Hlk112511955" localSheetId="1">Vizsgazo1!$B$74</definedName>
    <definedName name="_Hlk116144790" localSheetId="1">Vizsgazo1!#REF!</definedName>
    <definedName name="_Hlk116144944" localSheetId="1">Vizsgazo1!#REF!</definedName>
    <definedName name="_xlnm.Print_Titles" localSheetId="1">Vizsgazo1!$1:$2</definedName>
    <definedName name="_xlnm.Print_Area" localSheetId="0">Használati_útmutató!$A$1:$A$8</definedName>
    <definedName name="_xlnm.Print_Area" localSheetId="1">Vizsgazo1!$B$1:$D$226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5" i="77" l="1"/>
  <c r="B224" i="77"/>
  <c r="B223" i="77"/>
  <c r="B222" i="77"/>
  <c r="C226" i="77"/>
  <c r="B226" i="77"/>
  <c r="D219" i="77"/>
  <c r="D218" i="77"/>
  <c r="D217" i="77"/>
  <c r="D216" i="77"/>
  <c r="D215" i="77"/>
  <c r="D214" i="77"/>
  <c r="D213" i="77"/>
  <c r="D212" i="77"/>
  <c r="D211" i="77"/>
  <c r="D209" i="77"/>
  <c r="D208" i="77"/>
  <c r="D207" i="77"/>
  <c r="D206" i="77"/>
  <c r="D205" i="77"/>
  <c r="D204" i="77"/>
  <c r="D203" i="77"/>
  <c r="D202" i="77"/>
  <c r="D201" i="77"/>
  <c r="D200" i="77"/>
  <c r="D199" i="77"/>
  <c r="D197" i="77"/>
  <c r="D196" i="77"/>
  <c r="D195" i="77"/>
  <c r="D194" i="77"/>
  <c r="D193" i="77"/>
  <c r="D192" i="77"/>
  <c r="D190" i="77"/>
  <c r="D189" i="77"/>
  <c r="D188" i="77"/>
  <c r="D187" i="77"/>
  <c r="D186" i="77"/>
  <c r="D184" i="77"/>
  <c r="D183" i="77"/>
  <c r="D182" i="77"/>
  <c r="D181" i="77"/>
  <c r="D180" i="77"/>
  <c r="D179" i="77"/>
  <c r="D178" i="77"/>
  <c r="D176" i="77"/>
  <c r="D175" i="77"/>
  <c r="D173" i="77"/>
  <c r="D172" i="77"/>
  <c r="D170" i="77"/>
  <c r="D169" i="77"/>
  <c r="D168" i="77"/>
  <c r="D166" i="77"/>
  <c r="D161" i="77"/>
  <c r="D160" i="77"/>
  <c r="D159" i="77"/>
  <c r="D158" i="77"/>
  <c r="D156" i="77"/>
  <c r="D155" i="77"/>
  <c r="D154" i="77"/>
  <c r="D153" i="77"/>
  <c r="D152" i="77"/>
  <c r="D150" i="77"/>
  <c r="D149" i="77"/>
  <c r="D148" i="77"/>
  <c r="D147" i="77"/>
  <c r="D146" i="77"/>
  <c r="D144" i="77"/>
  <c r="D143" i="77"/>
  <c r="D142" i="77"/>
  <c r="D141" i="77"/>
  <c r="D139" i="77"/>
  <c r="D138" i="77"/>
  <c r="D137" i="77"/>
  <c r="D136" i="77"/>
  <c r="D135" i="77"/>
  <c r="D133" i="77"/>
  <c r="D132" i="77"/>
  <c r="D131" i="77"/>
  <c r="D129" i="77"/>
  <c r="D128" i="77"/>
  <c r="D127" i="77"/>
  <c r="D125" i="77"/>
  <c r="D124" i="77"/>
  <c r="D123" i="77"/>
  <c r="D121" i="77"/>
  <c r="D119" i="77"/>
  <c r="D114" i="77"/>
  <c r="D113" i="77"/>
  <c r="D112" i="77"/>
  <c r="D111" i="77"/>
  <c r="D110" i="77"/>
  <c r="D109" i="77"/>
  <c r="D108" i="77"/>
  <c r="D106" i="77"/>
  <c r="D105" i="77"/>
  <c r="D104" i="77"/>
  <c r="D103" i="77"/>
  <c r="D102" i="77"/>
  <c r="D101" i="77"/>
  <c r="D100" i="77"/>
  <c r="D99" i="77"/>
  <c r="D97" i="77"/>
  <c r="D96" i="77"/>
  <c r="D95" i="77"/>
  <c r="D94" i="77"/>
  <c r="D92" i="77"/>
  <c r="D91" i="77"/>
  <c r="D90" i="77"/>
  <c r="D89" i="77"/>
  <c r="D88" i="77"/>
  <c r="D87" i="77"/>
  <c r="D86" i="77"/>
  <c r="D85" i="77"/>
  <c r="D83" i="77"/>
  <c r="D82" i="77"/>
  <c r="D81" i="77"/>
  <c r="D79" i="77"/>
  <c r="D78" i="77"/>
  <c r="D76" i="77"/>
  <c r="D75" i="77"/>
  <c r="D74" i="77"/>
  <c r="D220" i="77" l="1"/>
  <c r="D225" i="77" s="1"/>
  <c r="D162" i="77"/>
  <c r="D224" i="77" s="1"/>
  <c r="D115" i="77"/>
  <c r="D222" i="77" s="1"/>
  <c r="D68" i="77" l="1"/>
  <c r="D67" i="77"/>
  <c r="D66" i="77"/>
  <c r="D65" i="77"/>
  <c r="D64" i="77"/>
  <c r="D63" i="77"/>
  <c r="D62" i="77"/>
  <c r="D61" i="77"/>
  <c r="D60" i="77"/>
  <c r="D59" i="77"/>
  <c r="D58" i="77"/>
  <c r="D56" i="77"/>
  <c r="D55" i="77"/>
  <c r="D54" i="77"/>
  <c r="D53" i="77"/>
  <c r="D52" i="77"/>
  <c r="D51" i="77"/>
  <c r="D50" i="77"/>
  <c r="D49" i="77"/>
  <c r="D48" i="77"/>
  <c r="D47" i="77"/>
  <c r="D46" i="77"/>
  <c r="D45" i="77"/>
  <c r="D44" i="77"/>
  <c r="D43" i="77"/>
  <c r="D42" i="77"/>
  <c r="D40" i="77"/>
  <c r="D38" i="77"/>
  <c r="D37" i="77"/>
  <c r="D35" i="77"/>
  <c r="D34" i="77"/>
  <c r="D33" i="77"/>
  <c r="D32" i="77"/>
  <c r="D31" i="77"/>
  <c r="D29" i="77"/>
  <c r="D28" i="77"/>
  <c r="D27" i="77"/>
  <c r="D26" i="77"/>
  <c r="D25" i="77"/>
  <c r="D24" i="77"/>
  <c r="D23" i="77"/>
  <c r="D22" i="77"/>
  <c r="D20" i="77"/>
  <c r="D19" i="77"/>
  <c r="D18" i="77"/>
  <c r="D17" i="77"/>
  <c r="D16" i="77"/>
  <c r="D14" i="77"/>
  <c r="D13" i="77"/>
  <c r="D12" i="77"/>
  <c r="D11" i="77"/>
  <c r="D10" i="77"/>
  <c r="D9" i="77"/>
  <c r="D7" i="77"/>
  <c r="D6" i="77"/>
  <c r="D69" i="77" l="1"/>
  <c r="D70" i="77" s="1"/>
  <c r="D226" i="7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>
    <comment ref="C3" authorId="0" shapeId="0" xr:uid="{00000000-0006-0000-0100-000001000000}">
      <text>
        <r>
          <rPr>
            <sz val="9"/>
            <color indexed="81"/>
            <rFont val="Tahoma"/>
            <family val="2"/>
            <charset val="238"/>
          </rPr>
          <t>Amennyiben a vizsgázó nem jelölte az általa választott feladatot, a vizsgaleírás alapján az 1.A feladatot kell értékelni.
Ennek megfelelően a cella üresen hagyása esetén a táblázat az 1.A feladatban elért pontokkal számol.</t>
        </r>
      </text>
    </comment>
    <comment ref="B4" authorId="0" shapeId="0" xr:uid="{00000000-0006-0000-0100-000002000000}">
      <text>
        <r>
          <rPr>
            <sz val="10"/>
            <color indexed="81"/>
            <rFont val="Tahoma"/>
            <family val="2"/>
            <charset val="238"/>
          </rPr>
          <t xml:space="preserve">Amennyiben a vizsgázó csak a PNG-be exportált képet adta be, vagy nem használt rétegeket a megoldása során, akkor a rétegekre vonatkozó pontokat nem kaphatja meg, de munkája a többi szempont szerint értékelendő. A stíluslap megvalósításánál az inline megoldásra nem adhatók meg a pontszámok. A rétegek elnevezése elfogadható kis- és nagybetűvel és legfeljebb egy karakter tévesztésével is.
</t>
        </r>
      </text>
    </comment>
    <comment ref="B9" authorId="0" shapeId="0" xr:uid="{00000000-0006-0000-0100-000003000000}">
      <text>
        <r>
          <rPr>
            <sz val="10"/>
            <color indexed="81"/>
            <rFont val="Tahoma"/>
            <family val="2"/>
            <charset val="238"/>
          </rPr>
          <t>talp nélküli betűtípussal</t>
        </r>
      </text>
    </comment>
    <comment ref="B13" authorId="0" shapeId="0" xr:uid="{00000000-0006-0000-0100-000004000000}">
      <text>
        <r>
          <rPr>
            <sz val="10"/>
            <color indexed="81"/>
            <rFont val="Tahoma"/>
            <family val="2"/>
            <charset val="238"/>
          </rPr>
          <t>A pont jár akkor is, ha a forgatás szöge 10 és 20 fok közé esik.</t>
        </r>
      </text>
    </comment>
    <comment ref="B22" authorId="0" shapeId="0" xr:uid="{00000000-0006-0000-0100-000005000000}">
      <text>
        <r>
          <rPr>
            <sz val="10"/>
            <color indexed="81"/>
            <rFont val="Tahoma"/>
            <family val="2"/>
            <charset val="238"/>
          </rPr>
          <t>A pont nem adható meg, ha a rajz ugyan tartalmaz két ellipszist és három vonalat, de azok nem hangjegyet formáznak.
A pont nem bontható.</t>
        </r>
      </text>
    </comment>
    <comment ref="B24" authorId="0" shapeId="0" xr:uid="{00000000-0006-0000-0100-000006000000}">
      <text>
        <r>
          <rPr>
            <sz val="10"/>
            <color indexed="81"/>
            <rFont val="Tahoma"/>
            <family val="2"/>
            <charset val="238"/>
          </rPr>
          <t>A pont csak akkor adható meg, ha a két fekete hangjegyet teljesen megrajzolta (két ellipszis, három vonal).</t>
        </r>
      </text>
    </comment>
    <comment ref="B26" authorId="0" shapeId="0" xr:uid="{00000000-0006-0000-0100-000007000000}">
      <text>
        <r>
          <rPr>
            <sz val="10"/>
            <color indexed="81"/>
            <rFont val="Tahoma"/>
            <family val="2"/>
            <charset val="238"/>
          </rPr>
          <t>A pont nem bontható.</t>
        </r>
      </text>
    </comment>
    <comment ref="B32" authorId="0" shapeId="0" xr:uid="{00000000-0006-0000-0100-000008000000}">
      <text>
        <r>
          <rPr>
            <sz val="10"/>
            <color indexed="81"/>
            <rFont val="Tahoma"/>
            <family val="2"/>
            <charset val="238"/>
          </rPr>
          <t>A pont jár akkor is, ha a vágás kissé pontatlan, vagyis a szélső ceruzák határvonalától legfeljebb egy ceruza szélességének 10 százalékával tért el.</t>
        </r>
      </text>
    </comment>
    <comment ref="B33" authorId="0" shapeId="0" xr:uid="{00000000-0006-0000-0100-000009000000}">
      <text>
        <r>
          <rPr>
            <sz val="10"/>
            <color indexed="81"/>
            <rFont val="Tahoma"/>
            <family val="2"/>
            <charset val="238"/>
          </rPr>
          <t>A pont nem bontható.</t>
        </r>
      </text>
    </comment>
    <comment ref="B37" authorId="0" shapeId="0" xr:uid="{00000000-0006-0000-0100-00000A000000}">
      <text>
        <r>
          <rPr>
            <sz val="10"/>
            <color indexed="81"/>
            <rFont val="Tahoma"/>
            <family val="2"/>
            <charset val="238"/>
          </rPr>
          <t>A pont nem bontható.</t>
        </r>
      </text>
    </comment>
    <comment ref="B43" authorId="0" shapeId="0" xr:uid="{00000000-0006-0000-0100-00000B000000}">
      <text>
        <r>
          <rPr>
            <sz val="10"/>
            <color indexed="81"/>
            <rFont val="Tahoma"/>
            <family val="2"/>
            <charset val="238"/>
          </rPr>
          <t>Helyes kód: &lt;title&gt;Iskolacsalogató&lt;/title&gt;</t>
        </r>
      </text>
    </comment>
    <comment ref="B46" authorId="0" shapeId="0" xr:uid="{00000000-0006-0000-0100-00000C000000}">
      <text>
        <r>
          <rPr>
            <sz val="10"/>
            <color indexed="81"/>
            <rFont val="Tahoma"/>
            <family val="2"/>
            <charset val="238"/>
          </rPr>
          <t>Helyes kód: &lt;p id=”info”&gt;</t>
        </r>
      </text>
    </comment>
    <comment ref="B50" authorId="0" shapeId="0" xr:uid="{00000000-0006-0000-0100-00000D000000}">
      <text>
        <r>
          <rPr>
            <sz val="10"/>
            <color indexed="81"/>
            <rFont val="Tahoma"/>
            <family val="2"/>
            <charset val="238"/>
          </rPr>
          <t>A pont nem bontható.</t>
        </r>
      </text>
    </comment>
    <comment ref="B52" authorId="0" shapeId="0" xr:uid="{00000000-0006-0000-0100-00000E000000}">
      <text>
        <r>
          <rPr>
            <sz val="10"/>
            <color indexed="81"/>
            <rFont val="Tahoma"/>
            <family val="2"/>
            <charset val="238"/>
          </rPr>
          <t>Helyes kód: &lt;a href="regisztracio.html"&gt;regisztrálják magukat az eseményre!&lt;/a&gt;</t>
        </r>
      </text>
    </comment>
    <comment ref="B53" authorId="0" shapeId="0" xr:uid="{00000000-0006-0000-0100-00000F000000}">
      <text>
        <r>
          <rPr>
            <sz val="10"/>
            <color indexed="81"/>
            <rFont val="Tahoma"/>
            <family val="2"/>
            <charset val="238"/>
          </rPr>
          <t>Helyes kód: &lt;img src=”grafika.png” …&gt;</t>
        </r>
      </text>
    </comment>
    <comment ref="B54" authorId="0" shapeId="0" xr:uid="{00000000-0006-0000-0100-000010000000}">
      <text>
        <r>
          <rPr>
            <sz val="10"/>
            <color indexed="81"/>
            <rFont val="Tahoma"/>
            <family val="2"/>
            <charset val="238"/>
          </rPr>
          <t>Helyes kód: &lt;img alt=” Az esemény plakátja” …&gt;</t>
        </r>
      </text>
    </comment>
    <comment ref="B55" authorId="0" shapeId="0" xr:uid="{00000000-0006-0000-0100-000011000000}">
      <text>
        <r>
          <rPr>
            <sz val="10"/>
            <color indexed="81"/>
            <rFont val="Tahoma"/>
            <family val="2"/>
            <charset val="238"/>
          </rPr>
          <t>Helyes kód: &lt;p&gt;&lt;img src="grafika.png" alt="Az esemény plakátja"&gt;&lt;br&gt;Mindenkit várunk sok szeretettel!&lt;/p&gt;</t>
        </r>
      </text>
    </comment>
    <comment ref="B56" authorId="0" shapeId="0" xr:uid="{00000000-0006-0000-0100-000012000000}">
      <text>
        <r>
          <rPr>
            <sz val="10"/>
            <color indexed="81"/>
            <rFont val="Tahoma"/>
            <family val="2"/>
            <charset val="238"/>
          </rPr>
          <t>Helyes kód: &lt;p class=”kozepre”&gt;</t>
        </r>
      </text>
    </comment>
    <comment ref="B58" authorId="0" shapeId="0" xr:uid="{00000000-0006-0000-0100-000013000000}">
      <text>
        <r>
          <rPr>
            <sz val="10"/>
            <color indexed="81"/>
            <rFont val="Tahoma"/>
            <family val="2"/>
            <charset val="238"/>
          </rPr>
          <t>Helyes kód: #info { background-color: lightgray;}
A pont jár akkor is, ha más módon állította be a világosszürke színt (pl. #ddd)</t>
        </r>
      </text>
    </comment>
    <comment ref="B59" authorId="0" shapeId="0" xr:uid="{00000000-0006-0000-0100-000014000000}">
      <text>
        <r>
          <rPr>
            <sz val="10"/>
            <color indexed="81"/>
            <rFont val="Tahoma"/>
            <family val="2"/>
            <charset val="238"/>
          </rPr>
          <t>A pont jár akkor is, ha nem állított be egyetlen elemnek sem info azonosítót, de ha megtette volna, akkor helyes eredményt kapott volna.</t>
        </r>
      </text>
    </comment>
    <comment ref="B60" authorId="0" shapeId="0" xr:uid="{00000000-0006-0000-0100-000015000000}">
      <text>
        <r>
          <rPr>
            <sz val="10"/>
            <color indexed="81"/>
            <rFont val="Tahoma"/>
            <family val="2"/>
            <charset val="238"/>
          </rPr>
          <t>Helyes kód: .kozepre {}</t>
        </r>
      </text>
    </comment>
    <comment ref="B61" authorId="0" shapeId="0" xr:uid="{00000000-0006-0000-0100-000016000000}">
      <text>
        <r>
          <rPr>
            <sz val="10"/>
            <color indexed="81"/>
            <rFont val="Tahoma"/>
            <family val="2"/>
            <charset val="238"/>
          </rPr>
          <t>Helyes kód: text-align: center;
A pont nem adható meg, ha lebegtetéssel (float) állította be az igazítást.</t>
        </r>
      </text>
    </comment>
    <comment ref="B62" authorId="0" shapeId="0" xr:uid="{00000000-0006-0000-0100-000017000000}">
      <text>
        <r>
          <rPr>
            <sz val="10"/>
            <color indexed="81"/>
            <rFont val="Tahoma"/>
            <family val="2"/>
            <charset val="238"/>
          </rPr>
          <t>A pont jár akkor is, ha nem állított be egyetlen elemnek sem kozepre azonosítót, de ha megtette volna, akkor helyes eredményt kapott volna.</t>
        </r>
      </text>
    </comment>
    <comment ref="B63" authorId="0" shapeId="0" xr:uid="{00000000-0006-0000-0100-000018000000}">
      <text>
        <r>
          <rPr>
            <sz val="10"/>
            <color indexed="81"/>
            <rFont val="Tahoma"/>
            <family val="2"/>
            <charset val="238"/>
          </rPr>
          <t>Helyes kód: img {}</t>
        </r>
      </text>
    </comment>
    <comment ref="B64" authorId="0" shapeId="0" xr:uid="{00000000-0006-0000-0100-000019000000}">
      <text>
        <r>
          <rPr>
            <sz val="10"/>
            <color indexed="81"/>
            <rFont val="Tahoma"/>
            <family val="2"/>
            <charset val="238"/>
          </rPr>
          <t>Helyes kód például: width:400px;</t>
        </r>
      </text>
    </comment>
    <comment ref="B68" authorId="0" shapeId="0" xr:uid="{00000000-0006-0000-0100-00001A000000}">
      <text>
        <r>
          <rPr>
            <sz val="10"/>
            <color indexed="81"/>
            <rFont val="Tahoma"/>
            <family val="2"/>
            <charset val="238"/>
          </rPr>
          <t>Helyes kód: body { font-family: Arial, sans-serif;}
A pont jár akkor is, ha a html szelektort használta, nem a body szelektort.
A pont jár akkor is, ha nem a meglévő blokkban helyezte el a deklarációt, hanem újat hozott létre.</t>
        </r>
      </text>
    </comment>
    <comment ref="B75" authorId="0" shapeId="0" xr:uid="{00000000-0006-0000-0100-00001B000000}">
      <text>
        <r>
          <rPr>
            <sz val="10"/>
            <color indexed="81"/>
            <rFont val="Tahoma"/>
            <family val="2"/>
            <charset val="238"/>
          </rPr>
          <t>A pont jár akkor is, ha az állományok végén üres sorok vannak.</t>
        </r>
      </text>
    </comment>
    <comment ref="B76" authorId="0" shapeId="0" xr:uid="{00000000-0006-0000-0100-00001C000000}">
      <text>
        <r>
          <rPr>
            <sz val="10"/>
            <color indexed="81"/>
            <rFont val="Tahoma"/>
            <family val="2"/>
            <charset val="238"/>
          </rPr>
          <t>Az előző két pont akkor is jár, ha a módosításokat az eredeti szöveges állományokban végezte el.</t>
        </r>
      </text>
    </comment>
    <comment ref="B79" authorId="0" shapeId="0" xr:uid="{00000000-0006-0000-0100-00001D000000}">
      <text>
        <r>
          <rPr>
            <sz val="10"/>
            <color indexed="81"/>
            <rFont val="Tahoma"/>
            <family val="2"/>
            <charset val="238"/>
          </rPr>
          <t>A pont jár akkor is, ha a munkalapokon más, fölösleges szövegek is megtalálhatók a szükséges számadatok mellett.</t>
        </r>
      </text>
    </comment>
    <comment ref="B85" authorId="0" shapeId="0" xr:uid="{00000000-0006-0000-0100-00001E000000}">
      <text>
        <r>
          <rPr>
            <sz val="10"/>
            <color indexed="81"/>
            <rFont val="Tahoma"/>
            <family val="2"/>
            <charset val="238"/>
          </rPr>
          <t>Például:
B3-as cellában: =Mars!B1</t>
        </r>
      </text>
    </comment>
    <comment ref="B87" authorId="0" shapeId="0" xr:uid="{00000000-0006-0000-0100-00001F000000}">
      <text>
        <r>
          <rPr>
            <sz val="10"/>
            <color indexed="81"/>
            <rFont val="Tahoma"/>
            <family val="2"/>
            <charset val="238"/>
          </rPr>
          <t>Például:
E3-as cellában: =HA(Mars!E1="-";-Mars!F1;Mars!F1)</t>
        </r>
      </text>
    </comment>
    <comment ref="B88" authorId="0" shapeId="0" xr:uid="{00000000-0006-0000-0100-000020000000}">
      <text>
        <r>
          <rPr>
            <sz val="10"/>
            <color indexed="81"/>
            <rFont val="Tahoma"/>
            <family val="2"/>
            <charset val="238"/>
          </rPr>
          <t>Az előző két pont jár akkor is, ha a három oszlopban nem azonos képletet használt, tehát azok egy soron belül nem másolhatók.</t>
        </r>
      </text>
    </comment>
    <comment ref="B89" authorId="0" shapeId="0" xr:uid="{00000000-0006-0000-0100-000021000000}">
      <text>
        <r>
          <rPr>
            <sz val="10"/>
            <color indexed="81"/>
            <rFont val="Tahoma"/>
            <family val="2"/>
            <charset val="238"/>
          </rPr>
          <t>Például:
H3-as cellában: =B3*3600+C3*60+D3</t>
        </r>
      </text>
    </comment>
    <comment ref="B91" authorId="0" shapeId="0" xr:uid="{00000000-0006-0000-0100-000022000000}">
      <text>
        <r>
          <rPr>
            <sz val="10"/>
            <color indexed="81"/>
            <rFont val="Tahoma"/>
            <family val="2"/>
            <charset val="238"/>
          </rPr>
          <t>Például:
I3-as cellában: =E3+F3/60+G3/3600</t>
        </r>
      </text>
    </comment>
    <comment ref="B94" authorId="0" shapeId="0" xr:uid="{00000000-0006-0000-0100-000023000000}">
      <text>
        <r>
          <rPr>
            <sz val="10"/>
            <color indexed="81"/>
            <rFont val="Tahoma"/>
            <family val="2"/>
            <charset val="238"/>
          </rPr>
          <t>Például:
J3-as cellában: =Vénusz!B1</t>
        </r>
      </text>
    </comment>
    <comment ref="B95" authorId="0" shapeId="0" xr:uid="{00000000-0006-0000-0100-000024000000}">
      <text>
        <r>
          <rPr>
            <sz val="10"/>
            <color indexed="81"/>
            <rFont val="Tahoma"/>
            <family val="2"/>
            <charset val="238"/>
          </rPr>
          <t>Az előző pont jár akkor is, ha a három oszlopban nem azonos képletet használt, tehát azok egy soron belül nem másolhatók.</t>
        </r>
      </text>
    </comment>
    <comment ref="B96" authorId="0" shapeId="0" xr:uid="{00000000-0006-0000-0100-000025000000}">
      <text>
        <r>
          <rPr>
            <sz val="10"/>
            <color indexed="81"/>
            <rFont val="Tahoma"/>
            <family val="2"/>
            <charset val="238"/>
          </rPr>
          <t>Például:
P3-as cellában: =J3*3600+K3*60+L3</t>
        </r>
      </text>
    </comment>
    <comment ref="B97" authorId="0" shapeId="0" xr:uid="{00000000-0006-0000-0100-000026000000}">
      <text>
        <r>
          <rPr>
            <sz val="10"/>
            <color indexed="81"/>
            <rFont val="Tahoma"/>
            <family val="2"/>
            <charset val="238"/>
          </rPr>
          <t>Például:
Q3-as cellában: = M3+N3/60+O3/3600</t>
        </r>
      </text>
    </comment>
    <comment ref="B117" authorId="0" shapeId="0" xr:uid="{00000000-0006-0000-0100-000027000000}">
      <text>
        <r>
          <rPr>
            <sz val="10"/>
            <color indexed="81"/>
            <rFont val="Tahoma"/>
            <family val="2"/>
            <charset val="238"/>
          </rPr>
          <t xml:space="preserve">A feladat javítása során kizárólag az .sql állományokba írt SQL kódok kerülnek értékelésre! Fájlnévtől függetlenül az állományok tartalma értékelendő.
</t>
        </r>
      </text>
    </comment>
    <comment ref="B119" authorId="0" shapeId="0" xr:uid="{00000000-0006-0000-0100-000028000000}">
      <text>
        <r>
          <rPr>
            <sz val="10"/>
            <color indexed="81"/>
            <rFont val="Tahoma"/>
            <family val="2"/>
            <charset val="238"/>
          </rPr>
          <t>A pont nem adható meg, ha négynél kevesebb helyes fájlnevű, SQL‑kódot tartalmazó állományt készített.</t>
        </r>
      </text>
    </comment>
    <comment ref="B121" authorId="0" shapeId="0" xr:uid="{00000000-0006-0000-0100-000029000000}">
      <text>
        <r>
          <rPr>
            <sz val="10"/>
            <color indexed="81"/>
            <rFont val="Tahoma"/>
            <family val="2"/>
            <charset val="238"/>
          </rPr>
          <t>A pont nem adható meg, ha háromnál kevesebb lekérdezést készített.</t>
        </r>
      </text>
    </comment>
    <comment ref="B125" authorId="0" shapeId="0" xr:uid="{00000000-0006-0000-0100-00002A000000}">
      <text>
        <r>
          <rPr>
            <sz val="10"/>
            <color indexed="81"/>
            <rFont val="Tahoma"/>
            <family val="2"/>
            <charset val="238"/>
          </rPr>
          <t>Például:
SELECT ev, versenyszam.nev
FROM versenyszam, jatekos, bajnok
WHERE jatekos.id = jatekos_id AND versenyszam.id = vsz_id  AND jatekos.nev="Harczi Zsolt";</t>
        </r>
      </text>
    </comment>
    <comment ref="B129" authorId="0" shapeId="0" xr:uid="{00000000-0006-0000-0100-00002B000000}">
      <text>
        <r>
          <rPr>
            <sz val="10"/>
            <color indexed="81"/>
            <rFont val="Tahoma"/>
            <family val="2"/>
            <charset val="238"/>
          </rPr>
          <t>A pont jár akkor is, ha a versenyszám nevének egy egyértelműen azonosító részletére szűrt.
Például:
SELECT Min(ev) AS Első_vegyes_páros
FROM versenyszam, bajnok
WHERE versenyszam.id = vsz_id And nev="vegyes páros";
vagy
SELECT ev AS Első_vegyes_páros
FROM versenyszam, bajnok
WHERE versenyszam.id = vsz_id And nev="vegyes páros"
ORDER BY ev
LIMIT 1;</t>
        </r>
      </text>
    </comment>
    <comment ref="B133" authorId="0" shapeId="0" xr:uid="{00000000-0006-0000-0100-00002C000000}">
      <text>
        <r>
          <rPr>
            <sz val="10"/>
            <color indexed="81"/>
            <rFont val="Tahoma"/>
            <family val="2"/>
            <charset val="238"/>
          </rPr>
          <t>Például:
SELECT Count(*), If(neme=0,"nő","férfi")
FROM jatekos
GROUP BY neme;</t>
        </r>
      </text>
    </comment>
    <comment ref="B138" authorId="0" shapeId="0" xr:uid="{00000000-0006-0000-0100-00002D000000}">
      <text>
        <r>
          <rPr>
            <sz val="10"/>
            <color indexed="81"/>
            <rFont val="Tahoma"/>
            <family val="2"/>
            <charset val="238"/>
          </rPr>
          <t>A pont nem adható meg, ha a feltétel a 2000. évet is megengedi.</t>
        </r>
      </text>
    </comment>
    <comment ref="B139" authorId="0" shapeId="0" xr:uid="{00000000-0006-0000-0100-00002E000000}">
      <text>
        <r>
          <rPr>
            <sz val="10"/>
            <color indexed="81"/>
            <rFont val="Tahoma"/>
            <family val="2"/>
            <charset val="238"/>
          </rPr>
          <t>Például:
SELECT DISTINCT orszag
FROM egyesulet, bajnok
WHERE egyesulet.id = egyesulet_id AND ev&gt;2000 AND orszag&lt;&gt;"Magyarország";</t>
        </r>
      </text>
    </comment>
    <comment ref="B144" authorId="0" shapeId="0" xr:uid="{00000000-0006-0000-0100-00002F000000}">
      <text>
        <r>
          <rPr>
            <sz val="10"/>
            <color indexed="81"/>
            <rFont val="Tahoma"/>
            <family val="2"/>
            <charset val="238"/>
          </rPr>
          <t>Például:
SELECT jatekos.nev
FROM jatekos, egyesulet, bajnok
WHERE egyesulet.id = egyesulet_id
AND jatekos.id = jatekos_id
AND egyesulet.nev="MTK"
GROUP BY jatekos.id
ORDER BY neme, jatekos.nev;</t>
        </r>
      </text>
    </comment>
    <comment ref="B150" authorId="0" shapeId="0" xr:uid="{00000000-0006-0000-0100-000030000000}">
      <text>
        <r>
          <rPr>
            <sz val="10"/>
            <color indexed="81"/>
            <rFont val="Tahoma"/>
            <family val="2"/>
            <charset val="238"/>
          </rPr>
          <t>Például:
SELECT jatekos.nev, ev, versenyszam.nev
FROM jatekos, bajnok, versenyszam
WHERE jatekos.id = jatekos_id AND versenyszam.id = vsz_id  AND jatekos_id in (SELECT jatekos_id
FROM bajnok
GROUP BY jatekos_id
HAVING Count(id)=1);
vagy
SELECT jatekos.nev, ev, versenyszam.nev
FROM jatekos, bajnok, versenyszam
WHERE jatekos.id = jatekos_id AND versenyszam.id = vsz_id GROUP BY jatekos_id
HAVING Count(jatekos_id)=1;</t>
        </r>
      </text>
    </comment>
    <comment ref="B154" authorId="0" shapeId="0" xr:uid="{00000000-0006-0000-0100-000031000000}">
      <text>
        <r>
          <rPr>
            <sz val="10"/>
            <color indexed="81"/>
            <rFont val="Tahoma"/>
            <family val="2"/>
            <charset val="238"/>
          </rPr>
          <t>A pont jár akkor is, ha a nev mező szerint csoportosított.</t>
        </r>
      </text>
    </comment>
    <comment ref="B155" authorId="0" shapeId="0" xr:uid="{00000000-0006-0000-0100-000032000000}">
      <text>
        <r>
          <rPr>
            <sz val="10"/>
            <color indexed="81"/>
            <rFont val="Tahoma"/>
            <family val="2"/>
            <charset val="238"/>
          </rPr>
          <t>A pont nem adható meg téves reláció használatakor.</t>
        </r>
      </text>
    </comment>
    <comment ref="B156" authorId="0" shapeId="0" xr:uid="{00000000-0006-0000-0100-000033000000}">
      <text>
        <r>
          <rPr>
            <sz val="10"/>
            <color indexed="81"/>
            <rFont val="Tahoma"/>
            <family val="2"/>
            <charset val="238"/>
          </rPr>
          <t>A pont jár akkor is, ha az évek számát tévesen határozta meg.
Például:
SELECT nev, Max(ev)-Min(ev) AS idotav
FROM jatekos, bajnok
WHERE jatekos.id = jatekos_id
GROUP BY jatekos.id
HAVING idotav&gt;=10
ORDER BY idotav DESC;</t>
        </r>
      </text>
    </comment>
    <comment ref="B159" authorId="0" shapeId="0" xr:uid="{00000000-0006-0000-0100-000034000000}">
      <text>
        <r>
          <rPr>
            <sz val="10"/>
            <color indexed="81"/>
            <rFont val="Tahoma"/>
            <family val="2"/>
            <charset val="238"/>
          </rPr>
          <t>A pont nem bontható.</t>
        </r>
      </text>
    </comment>
    <comment ref="B161" authorId="0" shapeId="0" xr:uid="{00000000-0006-0000-0100-000035000000}">
      <text>
        <r>
          <rPr>
            <sz val="10"/>
            <color indexed="81"/>
            <rFont val="Tahoma"/>
            <family val="2"/>
            <charset val="238"/>
          </rPr>
          <t>Például:
SELECT DISTINCT jatekos.nev
FROM jatekos, bajnok, versenyszam
WHERE jatekos.id = jatekos_id AND vsz_id = versenyszam.id  AND jatekos.nev&lt;&gt;"Pergel Szandra"
AND versenyszam.nev="vegyes páros"
AND ev IN (SELECT ev
FROM jatekos, bajnok, versenyszam
WHERE jatekos.id = jatekos_id
AND vsz_id = versenyszam.id
AND versenyszam.nev="vegyes páros"
AND jatekos.nev="Pergel Szandra");
vagy
SELECT DISTINCT jatekos.nev
FROM jatekos, bajnok, versenyszam
WHERE jatekos.id = jatekos_id
AND vsz_id = versenyszam.id
AND neme=1 AND versenyszam.nev="vegyes páros"
AND ev IN (SELECT ev
FROM jatekos, bajnok, versenyszam
WHERE jatekos.id = jatekos_id
AND vsz_id = versenyszam.id
AND versenyszam.nev="vegyes páros"
AND jatekos.nev="Pergel Szandra");</t>
        </r>
      </text>
    </comment>
    <comment ref="B164" authorId="0" shapeId="0" xr:uid="{00000000-0006-0000-0100-000036000000}">
      <text>
        <r>
          <rPr>
            <sz val="10"/>
            <color indexed="81"/>
            <rFont val="Tahoma"/>
            <family val="2"/>
            <charset val="238"/>
          </rPr>
          <t xml:space="preserve"> A beadott program csak abban az esetben értékelhető, ha van  programozási környezetnek megfelelő forrásállomány, és az tartalmazza a részfeladat megoldásához tartozó forráskódot.
A pontozás során futási hibás vagy csak részlegesen jó megoldás is értékelendő. A részpontszám jár, ha a kódnak az adott elemnél feltüntetett megfelelő részlete hibátlan. A kiírásért ékezethelyességtől függetlenül is járnak a pontok. A kommentben elhelyezett tartalom nem értékelhető. A kiíráshoz tartozó pontok járnak, ha a szöveg tartalmilag kifejezi a feladat szövegében vagy a kommunikációs mintában foglaltakat.
</t>
        </r>
      </text>
    </comment>
    <comment ref="B166" authorId="0" shapeId="0" xr:uid="{00000000-0006-0000-0100-000037000000}">
      <text>
        <r>
          <rPr>
            <sz val="10"/>
            <color indexed="81"/>
            <rFont val="Tahoma"/>
            <family val="2"/>
            <charset val="238"/>
          </rPr>
          <t>A pont csak akkor jár, ha a név pontos, a program fordítási és futtatási hibát nem tartalmaz.</t>
        </r>
      </text>
    </comment>
    <comment ref="B170" authorId="0" shapeId="0" xr:uid="{00000000-0006-0000-0100-000038000000}">
      <text>
        <r>
          <rPr>
            <sz val="10"/>
            <color indexed="81"/>
            <rFont val="Tahoma"/>
            <family val="2"/>
            <charset val="238"/>
          </rPr>
          <t>Az előző 2 pont csak akkor jár, ha legalább 3 olyan sorszámozott feladatra adott megoldást, amely a sorszám megjelenítésén kívül mást is végzett.</t>
        </r>
      </text>
    </comment>
    <comment ref="B173" authorId="0" shapeId="0" xr:uid="{00000000-0006-0000-0100-000039000000}">
      <text>
        <r>
          <rPr>
            <sz val="10"/>
            <color indexed="81"/>
            <rFont val="Tahoma"/>
            <family val="2"/>
            <charset val="238"/>
          </rPr>
          <t>A pont nem adható meg, ha nem őrizte meg az összes adatot.</t>
        </r>
      </text>
    </comment>
    <comment ref="B183" authorId="0" shapeId="0" xr:uid="{00000000-0006-0000-0100-00003A000000}">
      <text>
        <r>
          <rPr>
            <sz val="10"/>
            <color indexed="81"/>
            <rFont val="Tahoma"/>
            <family val="2"/>
            <charset val="238"/>
          </rPr>
          <t>A pont jár akkor is, ha a kiírt érték hibás.</t>
        </r>
      </text>
    </comment>
    <comment ref="B184" authorId="0" shapeId="0" xr:uid="{00000000-0006-0000-0100-00003B000000}">
      <text>
        <r>
          <rPr>
            <sz val="10"/>
            <color indexed="81"/>
            <rFont val="Tahoma"/>
            <family val="2"/>
            <charset val="238"/>
          </rPr>
          <t>A pont jár akkor is, ha a kiírt értékek hibásak, de több értéket jelenített meg.</t>
        </r>
      </text>
    </comment>
    <comment ref="B189" authorId="0" shapeId="0" xr:uid="{00000000-0006-0000-0100-00003C000000}">
      <text>
        <r>
          <rPr>
            <sz val="10"/>
            <color indexed="81"/>
            <rFont val="Tahoma"/>
            <family val="2"/>
            <charset val="238"/>
          </rPr>
          <t>A pont nem bontható.</t>
        </r>
      </text>
    </comment>
    <comment ref="B190" authorId="0" shapeId="0" xr:uid="{00000000-0006-0000-0100-00003D000000}">
      <text>
        <r>
          <rPr>
            <sz val="10"/>
            <color indexed="81"/>
            <rFont val="Tahoma"/>
            <family val="2"/>
            <charset val="238"/>
          </rPr>
          <t>A pont jár akkor is, ha a kiírt érték hibás, de az számolás eredménye.</t>
        </r>
      </text>
    </comment>
    <comment ref="B192" authorId="0" shapeId="0" xr:uid="{00000000-0006-0000-0100-00003E000000}">
      <text>
        <r>
          <rPr>
            <sz val="10"/>
            <color indexed="81"/>
            <rFont val="Tahoma"/>
            <family val="2"/>
            <charset val="238"/>
          </rPr>
          <t>A pont nem bontható.</t>
        </r>
      </text>
    </comment>
    <comment ref="B196" authorId="0" shapeId="0" xr:uid="{00000000-0006-0000-0100-00003F000000}">
      <text>
        <r>
          <rPr>
            <sz val="10"/>
            <color indexed="81"/>
            <rFont val="Tahoma"/>
            <family val="2"/>
            <charset val="238"/>
          </rPr>
          <t>A pont nem bontható.
A pont nem adható meg, ha olyan járművek rendszámát is kiírta, amelyek nem haladtak a legnagyobb sebességgel.</t>
        </r>
      </text>
    </comment>
    <comment ref="B197" authorId="0" shapeId="0" xr:uid="{00000000-0006-0000-0100-000040000000}">
      <text>
        <r>
          <rPr>
            <sz val="10"/>
            <color indexed="81"/>
            <rFont val="Tahoma"/>
            <family val="2"/>
            <charset val="238"/>
          </rPr>
          <t>A pont jár akkor is, ha az olyan járművek rendszámát többször is megjelenítette, amelyek többször is haladtak a legnagyobb sebességgel.
A pont jár akkor is, ha a kiírt adatok hibás értéket tartalmaznak, de azokat számítás, illetve keresés eredményeként kapta.</t>
        </r>
      </text>
    </comment>
    <comment ref="B206" authorId="0" shapeId="0" xr:uid="{00000000-0006-0000-0100-000041000000}">
      <text>
        <r>
          <rPr>
            <sz val="10"/>
            <color indexed="81"/>
            <rFont val="Tahoma"/>
            <family val="2"/>
            <charset val="238"/>
          </rPr>
          <t>A pont nem bontható.
A pont jár akkor is, ha a jármű távolságának számításakor egy tizedesjegyre kerekített, és az így kapott értékekkel számolt tovább.</t>
        </r>
      </text>
    </comment>
    <comment ref="B209" authorId="0" shapeId="0" xr:uid="{00000000-0006-0000-0100-000042000000}">
      <text>
        <r>
          <rPr>
            <sz val="10"/>
            <color indexed="81"/>
            <rFont val="Tahoma"/>
            <family val="2"/>
            <charset val="238"/>
          </rPr>
          <t>Az előző három pont jár akkor is, ha a kiírt értékek nem helyesek, de azok keresés és számítás eredményei.</t>
        </r>
      </text>
    </comment>
    <comment ref="B219" authorId="0" shapeId="0" xr:uid="{00000000-0006-0000-0100-000043000000}">
      <text>
        <r>
          <rPr>
            <sz val="10"/>
            <color indexed="81"/>
            <rFont val="Tahoma"/>
            <family val="2"/>
            <charset val="238"/>
          </rPr>
          <t>A pont jár akkor is, ha az utolsó jeladás óra és perc értéke nem helyes.</t>
        </r>
      </text>
    </comment>
  </commentList>
</comments>
</file>

<file path=xl/sharedStrings.xml><?xml version="1.0" encoding="utf-8"?>
<sst xmlns="http://schemas.openxmlformats.org/spreadsheetml/2006/main" count="225" uniqueCount="222">
  <si>
    <t>Kedves Javító Kolléga!</t>
  </si>
  <si>
    <t>A "Vizsgazo1" munkalapból minden vizsgázó számára készítsen egy másolatot!</t>
  </si>
  <si>
    <t>Az értékelést az "A" oszlopban végezze. Amennyiben a vizsgázó a feladatrészt megoldotta, írjon 1-est, ha nem, írjon 0-t! A táblázatkezelő ennek segítségével meghatározza a részpontszámokat és összpontszámokat.</t>
  </si>
  <si>
    <t>Az értékelés befejezése után az értékelési útmutató kinyomtatható. A nyomtatási terület ennek megfelelően beállított. 
A papírtakarékosság érdekében javasoljuk a füzetnyomtatás vagy a több oldal egy lapon beállítások használatát.</t>
  </si>
  <si>
    <r>
      <t xml:space="preserve">Amennyiben az egyes feladatokhoz megjegyzést szeretne írni, azt az </t>
    </r>
    <r>
      <rPr>
        <b/>
        <sz val="12"/>
        <color theme="1"/>
        <rFont val="Times New Roman"/>
        <family val="1"/>
        <charset val="238"/>
      </rPr>
      <t>E</t>
    </r>
    <r>
      <rPr>
        <sz val="12"/>
        <color theme="1"/>
        <rFont val="Times New Roman"/>
        <family val="1"/>
        <charset val="238"/>
      </rPr>
      <t xml:space="preserve"> oszlopban teheti meg, ez nem része a nyomtatási területnek.</t>
    </r>
  </si>
  <si>
    <t>Összesen:</t>
  </si>
  <si>
    <r>
      <t xml:space="preserve">Létrehozta a feladatok végén zárójelben megadott nevű és </t>
    </r>
    <r>
      <rPr>
        <i/>
        <sz val="11"/>
        <color theme="1"/>
        <rFont val="Courier New"/>
        <family val="3"/>
        <charset val="238"/>
      </rPr>
      <t>.sql</t>
    </r>
    <r>
      <rPr>
        <sz val="12"/>
        <color theme="1"/>
        <rFont val="Times New Roman"/>
        <family val="1"/>
        <charset val="238"/>
      </rPr>
      <t xml:space="preserve"> kiterjesztésű szöveges állományokat</t>
    </r>
  </si>
  <si>
    <t>Minden lekérdezésben a megfelelő mezők szerepelnek</t>
  </si>
  <si>
    <t>Üzenetek a képernyőn</t>
  </si>
  <si>
    <t>Feladatpontok összesen:</t>
  </si>
  <si>
    <r>
      <t xml:space="preserve">A </t>
    </r>
    <r>
      <rPr>
        <b/>
        <sz val="12"/>
        <color rgb="FF000000"/>
        <rFont val="Times New Roman"/>
        <family val="1"/>
        <charset val="238"/>
      </rPr>
      <t>D1</t>
    </r>
    <r>
      <rPr>
        <sz val="12"/>
        <color indexed="8"/>
        <rFont val="Times New Roman"/>
        <family val="1"/>
        <charset val="238"/>
      </rPr>
      <t>-es cellába írja be a vizsgázó kódját!</t>
    </r>
  </si>
  <si>
    <r>
      <t xml:space="preserve">A </t>
    </r>
    <r>
      <rPr>
        <b/>
        <sz val="12"/>
        <color rgb="FF000000"/>
        <rFont val="Times New Roman"/>
        <family val="1"/>
        <charset val="238"/>
      </rPr>
      <t>C3</t>
    </r>
    <r>
      <rPr>
        <sz val="12"/>
        <color indexed="8"/>
        <rFont val="Times New Roman"/>
        <family val="1"/>
        <charset val="238"/>
      </rPr>
      <t xml:space="preserve">-as cellába írja be a </t>
    </r>
    <r>
      <rPr>
        <b/>
        <sz val="12"/>
        <color rgb="FF000000"/>
        <rFont val="Times New Roman"/>
        <family val="1"/>
        <charset val="238"/>
      </rPr>
      <t>vizsgázó által választott feladat betűjelét</t>
    </r>
    <r>
      <rPr>
        <sz val="12"/>
        <color indexed="8"/>
        <rFont val="Times New Roman"/>
        <family val="1"/>
        <charset val="238"/>
      </rPr>
      <t xml:space="preserve">, amelyet a feladatlap első oldalán talál. Amennyiben a vizsgázó betűjelet nem adta meg, és a beadott fájlok alapján sem derül ki egyértelműen, hogy melyik feladatot választotta, akkor az 1.A feladatot kell értékelni. </t>
    </r>
    <r>
      <rPr>
        <b/>
        <sz val="12"/>
        <color rgb="FF000000"/>
        <rFont val="Times New Roman"/>
        <family val="1"/>
        <charset val="238"/>
      </rPr>
      <t xml:space="preserve">Ha az adott munkalapon a C3 cella üresen marad, az értékelő táblázat az 1.A feladathoz beírt pontszámok alapján számolja ki az összpontszámot. </t>
    </r>
  </si>
  <si>
    <t>A vizsgázó által választott első feladat betűjele (A vagy B):</t>
  </si>
  <si>
    <r>
      <t xml:space="preserve">A megoldás </t>
    </r>
    <r>
      <rPr>
        <sz val="11"/>
        <color theme="1"/>
        <rFont val="Courier New"/>
        <family val="3"/>
        <charset val="238"/>
      </rPr>
      <t>.sql</t>
    </r>
    <r>
      <rPr>
        <sz val="12"/>
        <color theme="1"/>
        <rFont val="Times New Roman"/>
        <family val="1"/>
        <charset val="238"/>
      </rPr>
      <t xml:space="preserve"> állományok létrehozása</t>
    </r>
  </si>
  <si>
    <t>A bemeneti fájl feldolgozása és az adatok tárolása</t>
  </si>
  <si>
    <t>A grafika elmentése és mérete</t>
  </si>
  <si>
    <r>
      <t xml:space="preserve">Létezik a </t>
    </r>
    <r>
      <rPr>
        <i/>
        <sz val="11"/>
        <color theme="1"/>
        <rFont val="Courier New"/>
        <family val="3"/>
        <charset val="238"/>
      </rPr>
      <t xml:space="preserve">grafika </t>
    </r>
    <r>
      <rPr>
        <sz val="12"/>
        <color theme="1"/>
        <rFont val="Times New Roman"/>
        <family val="1"/>
        <charset val="238"/>
      </rPr>
      <t>kép, amely olyan rasztergrafikus formátumban került elmentésre, amely támogatja a rétegek használatát</t>
    </r>
  </si>
  <si>
    <r>
      <t xml:space="preserve">A grafika kép tartalmazza a </t>
    </r>
    <r>
      <rPr>
        <i/>
        <sz val="11"/>
        <color theme="1"/>
        <rFont val="Courier New"/>
        <family val="3"/>
        <charset val="238"/>
      </rPr>
      <t>plakat.png</t>
    </r>
    <r>
      <rPr>
        <sz val="12"/>
        <color theme="1"/>
        <rFont val="Times New Roman"/>
        <family val="1"/>
        <charset val="238"/>
      </rPr>
      <t xml:space="preserve"> képet, 600 képpont széles, 700 képpont magas</t>
    </r>
  </si>
  <si>
    <t>Szöveg elhelyezése</t>
  </si>
  <si>
    <r>
      <t>Elhelyezte a „</t>
    </r>
    <r>
      <rPr>
        <b/>
        <i/>
        <sz val="12"/>
        <color theme="1"/>
        <rFont val="Times New Roman"/>
        <family val="1"/>
        <charset val="238"/>
      </rPr>
      <t>Iskolacsalogató</t>
    </r>
    <r>
      <rPr>
        <sz val="12"/>
        <color theme="1"/>
        <rFont val="Times New Roman"/>
        <family val="1"/>
        <charset val="238"/>
      </rPr>
      <t>” szöveget</t>
    </r>
  </si>
  <si>
    <t>félkövér formázással</t>
  </si>
  <si>
    <t>RGB(71, 130, 72) színkódú színnel</t>
  </si>
  <si>
    <t>A szöveg legalább 360 képpont széles</t>
  </si>
  <si>
    <t>A szöveget elforgatta 15°-kal negatív irányba</t>
  </si>
  <si>
    <t>A szöveg nem lóg rá a sötétebb kék területre</t>
  </si>
  <si>
    <t>Robot elhelyezése</t>
  </si>
  <si>
    <t>Méretaránytartóan átméretezte a képet 160 képpont szélesre</t>
  </si>
  <si>
    <r>
      <t xml:space="preserve">Önálló rétegen helyezte el a képet, melynek neve </t>
    </r>
    <r>
      <rPr>
        <i/>
        <sz val="11"/>
        <color theme="1"/>
        <rFont val="Courier New"/>
        <family val="3"/>
        <charset val="238"/>
      </rPr>
      <t>Robotika</t>
    </r>
  </si>
  <si>
    <t>A robot szeme feletti két zöld színű szemöldököt leretusálta, helyén a fej színe jelenik meg</t>
  </si>
  <si>
    <t>Hangjegy megrajzolása</t>
  </si>
  <si>
    <t>Megrajzolta fekete színnel a két ellipszisből és három vonalból álló két hangjegyet</t>
  </si>
  <si>
    <t>Két vonal függőleges, az összekötő vonal pedig vízszintes</t>
  </si>
  <si>
    <t>A rajz szélessége legalább 100 képpont, magassága legalább 60 képpont</t>
  </si>
  <si>
    <r>
      <t xml:space="preserve">A két fekete hangjegyet a </t>
    </r>
    <r>
      <rPr>
        <i/>
        <sz val="11"/>
        <color theme="1"/>
        <rFont val="Courier New"/>
        <family val="3"/>
        <charset val="238"/>
      </rPr>
      <t>Hangjegy1</t>
    </r>
    <r>
      <rPr>
        <sz val="12"/>
        <color theme="1"/>
        <rFont val="Times New Roman"/>
        <family val="1"/>
        <charset val="238"/>
      </rPr>
      <t xml:space="preserve"> nevű rétegen helyezte el, amely 150 képpont széles és 120 képpont magas</t>
    </r>
  </si>
  <si>
    <t>Egy, a fekete színű hangjegyekkel megegyező méretű és alakú, szürke színű hangjegypárt is elhelyezett a képen</t>
  </si>
  <si>
    <r>
      <t xml:space="preserve">A szürke színű hangjegyeket a </t>
    </r>
    <r>
      <rPr>
        <i/>
        <sz val="11"/>
        <color theme="1"/>
        <rFont val="Courier New"/>
        <family val="3"/>
        <charset val="238"/>
      </rPr>
      <t>Hangjegy2</t>
    </r>
    <r>
      <rPr>
        <sz val="12"/>
        <color theme="1"/>
        <rFont val="Times New Roman"/>
        <family val="1"/>
        <charset val="238"/>
      </rPr>
      <t xml:space="preserve"> nevű rétegen helyezte el, amely 150 képpont széles és 120 képpont magas</t>
    </r>
  </si>
  <si>
    <t>A két hangjegypárt úgy helyezte el, hogy az egyik hangjegypár függőleges szára metssze a másik hangjegypár vízszintes vonalát</t>
  </si>
  <si>
    <t>A fekete hangjegypár takarja a szürke hangjegypárt</t>
  </si>
  <si>
    <t>Ceruzák elhelyezése</t>
  </si>
  <si>
    <r>
      <t xml:space="preserve">Beillesztette a </t>
    </r>
    <r>
      <rPr>
        <i/>
        <sz val="11"/>
        <color theme="1"/>
        <rFont val="Courier New"/>
        <family val="3"/>
        <charset val="238"/>
      </rPr>
      <t>ceruzak.png</t>
    </r>
    <r>
      <rPr>
        <sz val="12"/>
        <color theme="1"/>
        <rFont val="Times New Roman"/>
        <family val="1"/>
        <charset val="238"/>
      </rPr>
      <t xml:space="preserve"> képet</t>
    </r>
  </si>
  <si>
    <t>Levágta a képet úgy, hogy csak a középső hat ceruza (a világoskéktől a pirosig) látszik</t>
  </si>
  <si>
    <t>A képen lévő fehér területeket átlátszóvá tette</t>
  </si>
  <si>
    <t>A képet méretaránytartóan átméretezte úgy, hogy magassága 160 képpont legyen</t>
  </si>
  <si>
    <r>
      <t xml:space="preserve">A képet önálló rétegen helyezte el, amelynek neve </t>
    </r>
    <r>
      <rPr>
        <i/>
        <sz val="11"/>
        <color theme="1"/>
        <rFont val="Courier New"/>
        <family val="3"/>
        <charset val="238"/>
      </rPr>
      <t>Ceruzák</t>
    </r>
  </si>
  <si>
    <t>Képek igazítása</t>
  </si>
  <si>
    <t>A robotot, az alsó hangjegypárt és a ceruzákat úgy igazította, hogy aljuk egy képzeletbeli vonalra illeszkedjen a halványkék terület aljától legalább 15 képpontnyi távolságra</t>
  </si>
  <si>
    <t>Semelyik kép sem takarja el a szöveget</t>
  </si>
  <si>
    <t>Exportálás</t>
  </si>
  <si>
    <r>
      <t xml:space="preserve">Exportálta a végeredményt </t>
    </r>
    <r>
      <rPr>
        <i/>
        <sz val="11"/>
        <color theme="1"/>
        <rFont val="Courier New"/>
        <family val="3"/>
        <charset val="238"/>
      </rPr>
      <t>grafika</t>
    </r>
    <r>
      <rPr>
        <sz val="12"/>
        <color theme="1"/>
        <rFont val="Times New Roman"/>
        <family val="1"/>
        <charset val="238"/>
      </rPr>
      <t xml:space="preserve"> néven, PNG formátumban</t>
    </r>
  </si>
  <si>
    <r>
      <t>A weblap tartalmának létrehozása (</t>
    </r>
    <r>
      <rPr>
        <i/>
        <sz val="11"/>
        <color theme="1"/>
        <rFont val="Courier New"/>
        <family val="3"/>
        <charset val="238"/>
      </rPr>
      <t>csalogato.html</t>
    </r>
    <r>
      <rPr>
        <sz val="12"/>
        <color theme="1"/>
        <rFont val="Times New Roman"/>
        <family val="1"/>
        <charset val="238"/>
      </rPr>
      <t>)</t>
    </r>
  </si>
  <si>
    <r>
      <t xml:space="preserve">A forrásszöveg első bekezdését elhelyezte </t>
    </r>
    <r>
      <rPr>
        <i/>
        <sz val="11"/>
        <color theme="1"/>
        <rFont val="Courier New"/>
        <family val="3"/>
        <charset val="238"/>
      </rPr>
      <t>&lt;h1&gt;</t>
    </r>
    <r>
      <rPr>
        <sz val="12"/>
        <color theme="1"/>
        <rFont val="Times New Roman"/>
        <family val="1"/>
        <charset val="238"/>
      </rPr>
      <t xml:space="preserve"> és </t>
    </r>
    <r>
      <rPr>
        <i/>
        <sz val="11"/>
        <color theme="1"/>
        <rFont val="Courier New"/>
        <family val="3"/>
        <charset val="238"/>
      </rPr>
      <t>&lt;/h1&gt;</t>
    </r>
    <r>
      <rPr>
        <sz val="12"/>
        <color theme="1"/>
        <rFont val="Times New Roman"/>
        <family val="1"/>
        <charset val="238"/>
      </rPr>
      <t xml:space="preserve"> címkék között</t>
    </r>
  </si>
  <si>
    <t>Ugyanezen szöveget állította be a weblap címének is az oldal &lt;head&gt; részében</t>
  </si>
  <si>
    <t>Legalább egy csak szöveget tartalmazó bekezdést helyesen létrehozott, megfelelő tartalommal</t>
  </si>
  <si>
    <t>Mindkét csak szöveget tartalmazó bekezdést helyesen létrehozta, megfelelő tartalommal</t>
  </si>
  <si>
    <r>
      <t xml:space="preserve">Az első bekezdésnek az </t>
    </r>
    <r>
      <rPr>
        <i/>
        <sz val="11"/>
        <color theme="1"/>
        <rFont val="Courier New"/>
        <family val="3"/>
        <charset val="238"/>
      </rPr>
      <t>info</t>
    </r>
    <r>
      <rPr>
        <sz val="12"/>
        <color theme="1"/>
        <rFont val="Times New Roman"/>
        <family val="1"/>
        <charset val="238"/>
      </rPr>
      <t xml:space="preserve"> nevű egyedi azonosítót adta</t>
    </r>
  </si>
  <si>
    <r>
      <t xml:space="preserve">A félkövér kiemelést megfelelő HTML-címkével </t>
    </r>
    <r>
      <rPr>
        <i/>
        <sz val="11"/>
        <color theme="1"/>
        <rFont val="Courier New"/>
        <family val="3"/>
        <charset val="238"/>
      </rPr>
      <t>(&lt;b&gt;</t>
    </r>
    <r>
      <rPr>
        <sz val="12"/>
        <color theme="1"/>
        <rFont val="Times New Roman"/>
        <family val="1"/>
        <charset val="238"/>
      </rPr>
      <t xml:space="preserve"> vagy </t>
    </r>
    <r>
      <rPr>
        <i/>
        <sz val="11"/>
        <color theme="1"/>
        <rFont val="Courier New"/>
        <family val="3"/>
        <charset val="238"/>
      </rPr>
      <t>&lt;strong&gt;</t>
    </r>
    <r>
      <rPr>
        <sz val="12"/>
        <color theme="1"/>
        <rFont val="Times New Roman"/>
        <family val="1"/>
        <charset val="238"/>
      </rPr>
      <t>) valósította meg</t>
    </r>
  </si>
  <si>
    <r>
      <t xml:space="preserve">A dőlt formázást megfelelő HTML-címkével </t>
    </r>
    <r>
      <rPr>
        <i/>
        <sz val="11"/>
        <color theme="1"/>
        <rFont val="Courier New"/>
        <family val="3"/>
        <charset val="238"/>
      </rPr>
      <t>(&lt;i&gt;</t>
    </r>
    <r>
      <rPr>
        <sz val="12"/>
        <color theme="1"/>
        <rFont val="Times New Roman"/>
        <family val="1"/>
        <charset val="238"/>
      </rPr>
      <t xml:space="preserve"> vagy </t>
    </r>
    <r>
      <rPr>
        <i/>
        <sz val="11"/>
        <color theme="1"/>
        <rFont val="Courier New"/>
        <family val="3"/>
        <charset val="238"/>
      </rPr>
      <t>&lt;em&gt;</t>
    </r>
    <r>
      <rPr>
        <sz val="12"/>
        <color theme="1"/>
        <rFont val="Times New Roman"/>
        <family val="1"/>
        <charset val="238"/>
      </rPr>
      <t>) valósította meg</t>
    </r>
  </si>
  <si>
    <r>
      <t xml:space="preserve">Beillesztett egy legalább 2x2-es táblázatot a </t>
    </r>
    <r>
      <rPr>
        <i/>
        <sz val="11"/>
        <color theme="1"/>
        <rFont val="Courier New"/>
        <family val="3"/>
        <charset val="238"/>
      </rPr>
      <t>&lt;table&gt;, &lt;tr&gt;, &lt;td&gt;</t>
    </r>
    <r>
      <rPr>
        <sz val="12"/>
        <color theme="1"/>
        <rFont val="Times New Roman"/>
        <family val="1"/>
        <charset val="238"/>
      </rPr>
      <t xml:space="preserve"> vagy </t>
    </r>
    <r>
      <rPr>
        <i/>
        <sz val="11"/>
        <color theme="1"/>
        <rFont val="Courier New"/>
        <family val="3"/>
        <charset val="238"/>
      </rPr>
      <t>&lt;th&gt;</t>
    </r>
    <r>
      <rPr>
        <sz val="12"/>
        <color theme="1"/>
        <rFont val="Times New Roman"/>
        <family val="1"/>
        <charset val="238"/>
      </rPr>
      <t xml:space="preserve"> címkék helyes alkalmazásával</t>
    </r>
  </si>
  <si>
    <r>
      <t xml:space="preserve">Pontosan 4 sorból és 2 oszlopból álló táblázatot illesztett be, melynek első sorában fejléccellák, a többi sorában adatcellák vannak; a </t>
    </r>
    <r>
      <rPr>
        <i/>
        <sz val="11"/>
        <color theme="1"/>
        <rFont val="Courier New"/>
        <family val="3"/>
        <charset val="238"/>
      </rPr>
      <t>&lt;table&gt;, &lt;tr&gt;, &lt;td&gt;</t>
    </r>
    <r>
      <rPr>
        <sz val="12"/>
        <color theme="1"/>
        <rFont val="Times New Roman"/>
        <family val="1"/>
        <charset val="238"/>
      </rPr>
      <t xml:space="preserve"> és </t>
    </r>
    <r>
      <rPr>
        <i/>
        <sz val="11"/>
        <color theme="1"/>
        <rFont val="Courier New"/>
        <family val="3"/>
        <charset val="238"/>
      </rPr>
      <t>&lt;th&gt;</t>
    </r>
    <r>
      <rPr>
        <sz val="12"/>
        <color theme="1"/>
        <rFont val="Times New Roman"/>
        <family val="1"/>
        <charset val="238"/>
      </rPr>
      <t xml:space="preserve"> címkéket helyesen alkalmazta</t>
    </r>
  </si>
  <si>
    <t>A megfelelő tartalmakat helyezte el mind a 8 cellában</t>
  </si>
  <si>
    <r>
      <t>A táblázat alatti szövegben a „</t>
    </r>
    <r>
      <rPr>
        <b/>
        <i/>
        <sz val="12"/>
        <color theme="1"/>
        <rFont val="Times New Roman"/>
        <family val="1"/>
        <charset val="238"/>
      </rPr>
      <t>regisztrálják magukat az eseményre!</t>
    </r>
    <r>
      <rPr>
        <sz val="12"/>
        <color theme="1"/>
        <rFont val="Times New Roman"/>
        <family val="1"/>
        <charset val="238"/>
      </rPr>
      <t xml:space="preserve">” szövegre hivatkozást helyezett el, amely a </t>
    </r>
    <r>
      <rPr>
        <i/>
        <sz val="11"/>
        <color theme="1"/>
        <rFont val="Courier New"/>
        <family val="3"/>
        <charset val="238"/>
      </rPr>
      <t>regisztracio.html</t>
    </r>
    <r>
      <rPr>
        <sz val="12"/>
        <color theme="1"/>
        <rFont val="Times New Roman"/>
        <family val="1"/>
        <charset val="238"/>
      </rPr>
      <t xml:space="preserve"> oldalra mutat</t>
    </r>
  </si>
  <si>
    <r>
      <t>A képhez tartozó helyettesítő leírásnak „</t>
    </r>
    <r>
      <rPr>
        <i/>
        <sz val="12"/>
        <color rgb="FF000000"/>
        <rFont val="Times New Roman"/>
        <family val="1"/>
        <charset val="238"/>
      </rPr>
      <t>Az esemény plakátja</t>
    </r>
    <r>
      <rPr>
        <sz val="12"/>
        <color theme="1"/>
        <rFont val="Times New Roman"/>
        <family val="1"/>
        <charset val="238"/>
      </rPr>
      <t>” című szöveget gépelte be</t>
    </r>
  </si>
  <si>
    <r>
      <t>A képet és a „</t>
    </r>
    <r>
      <rPr>
        <b/>
        <i/>
        <sz val="12"/>
        <color theme="1"/>
        <rFont val="Times New Roman"/>
        <family val="1"/>
        <charset val="238"/>
      </rPr>
      <t>Mindenkit várunk sok szeretettel!</t>
    </r>
    <r>
      <rPr>
        <sz val="12"/>
        <color theme="1"/>
        <rFont val="Times New Roman"/>
        <family val="1"/>
        <charset val="238"/>
      </rPr>
      <t>” szöveget egy bekezdésben helyezte el, a kép és a szöveg között sortörést alkalmazott</t>
    </r>
  </si>
  <si>
    <r>
      <t>A bekezdést besorolta a „</t>
    </r>
    <r>
      <rPr>
        <i/>
        <sz val="12"/>
        <color theme="1"/>
        <rFont val="Times New Roman"/>
        <family val="1"/>
        <charset val="238"/>
      </rPr>
      <t>kozepre</t>
    </r>
    <r>
      <rPr>
        <sz val="12"/>
        <color theme="1"/>
        <rFont val="Times New Roman"/>
        <family val="1"/>
        <charset val="238"/>
      </rPr>
      <t>” nevű osztályba</t>
    </r>
  </si>
  <si>
    <r>
      <t>A stíluslap módosítása (</t>
    </r>
    <r>
      <rPr>
        <i/>
        <sz val="11"/>
        <color theme="1"/>
        <rFont val="Courier New"/>
        <family val="3"/>
        <charset val="238"/>
      </rPr>
      <t>csalogato.css</t>
    </r>
    <r>
      <rPr>
        <sz val="12"/>
        <color theme="1"/>
        <rFont val="Times New Roman"/>
        <family val="1"/>
        <charset val="238"/>
      </rPr>
      <t>)</t>
    </r>
  </si>
  <si>
    <r>
      <t xml:space="preserve">Az </t>
    </r>
    <r>
      <rPr>
        <i/>
        <sz val="10"/>
        <color theme="1"/>
        <rFont val="Courier New"/>
        <family val="3"/>
        <charset val="238"/>
      </rPr>
      <t>info</t>
    </r>
    <r>
      <rPr>
        <sz val="12"/>
        <color theme="1"/>
        <rFont val="Times New Roman"/>
        <family val="1"/>
        <charset val="238"/>
      </rPr>
      <t xml:space="preserve"> egyedi azonosítójú elemre a háttérszínt világosszürkére állította</t>
    </r>
  </si>
  <si>
    <r>
      <t xml:space="preserve">A böngészőben tesztelve az </t>
    </r>
    <r>
      <rPr>
        <i/>
        <sz val="11"/>
        <color theme="1"/>
        <rFont val="Courier New"/>
        <family val="3"/>
        <charset val="238"/>
      </rPr>
      <t>info</t>
    </r>
    <r>
      <rPr>
        <sz val="12"/>
        <color theme="1"/>
        <rFont val="Times New Roman"/>
        <family val="1"/>
        <charset val="238"/>
      </rPr>
      <t xml:space="preserve"> azonosítójú bekezdés tartalma világosszürke háttéren jelenik meg</t>
    </r>
  </si>
  <si>
    <r>
      <t xml:space="preserve">Létrehozott egy deklarációt a </t>
    </r>
    <r>
      <rPr>
        <i/>
        <sz val="10"/>
        <color theme="1"/>
        <rFont val="Courier New"/>
        <family val="3"/>
        <charset val="238"/>
      </rPr>
      <t>kozepre</t>
    </r>
    <r>
      <rPr>
        <sz val="12"/>
        <color theme="1"/>
        <rFont val="Times New Roman"/>
        <family val="1"/>
        <charset val="238"/>
      </rPr>
      <t xml:space="preserve"> osztályra vonatkozóan</t>
    </r>
  </si>
  <si>
    <t>Beállította, hogy a szöveges tartalom középre igazodjon a blokkon belül</t>
  </si>
  <si>
    <t>A böngészőben tesztelve a szöveges tartalom középre igazodik a blokkon belül</t>
  </si>
  <si>
    <t>A kép tulajdonságának beállításához megfelelő típusszelektort használt</t>
  </si>
  <si>
    <t>Beállította, hogy a szélesség 400 képpont legyen</t>
  </si>
  <si>
    <t>A böngészőben tesztelve a kép valóban kisebb (400 képpont) szélességben jelenik meg</t>
  </si>
  <si>
    <r>
      <t xml:space="preserve">Beállította, hogy minden szöveg </t>
    </r>
    <r>
      <rPr>
        <i/>
        <sz val="12"/>
        <color theme="1"/>
        <rFont val="Times New Roman"/>
        <family val="1"/>
        <charset val="238"/>
      </rPr>
      <t>Arial</t>
    </r>
    <r>
      <rPr>
        <sz val="12"/>
        <color theme="1"/>
        <rFont val="Times New Roman"/>
        <family val="1"/>
        <charset val="238"/>
      </rPr>
      <t xml:space="preserve"> betűtípussal jelenjen meg</t>
    </r>
  </si>
  <si>
    <t>Beállította, hogy amennyiben nincs Arial betűtípus telepítve, az alapértelmezett talp nélküli betűtípussal jelenjen meg minden szöveg</t>
  </si>
  <si>
    <t>Ez a beállítás csak egyszer szerepel a stíluslap állományban</t>
  </si>
  <si>
    <r>
      <t>Vizsgapont</t>
    </r>
    <r>
      <rPr>
        <i/>
        <sz val="12"/>
        <color theme="1"/>
        <rFont val="Times New Roman"/>
        <family val="1"/>
        <charset val="238"/>
      </rPr>
      <t>: a feladatpont 35/60-ad része egész számra lefelé kerekítve</t>
    </r>
  </si>
  <si>
    <t>35 pont</t>
  </si>
  <si>
    <t>A szöveges állományok másolása és módosítása</t>
  </si>
  <si>
    <r>
      <t xml:space="preserve">Létrehozta a </t>
    </r>
    <r>
      <rPr>
        <i/>
        <sz val="11"/>
        <color theme="1"/>
        <rFont val="Courier New"/>
        <family val="3"/>
        <charset val="238"/>
      </rPr>
      <t>mars.txt</t>
    </r>
    <r>
      <rPr>
        <sz val="12"/>
        <color theme="1"/>
        <rFont val="Times New Roman"/>
        <family val="1"/>
        <charset val="238"/>
      </rPr>
      <t xml:space="preserve"> és a </t>
    </r>
    <r>
      <rPr>
        <i/>
        <sz val="11"/>
        <color theme="1"/>
        <rFont val="Courier New"/>
        <family val="3"/>
        <charset val="238"/>
      </rPr>
      <t>venus.txt</t>
    </r>
    <r>
      <rPr>
        <sz val="12"/>
        <color theme="1"/>
        <rFont val="Times New Roman"/>
        <family val="1"/>
        <charset val="238"/>
      </rPr>
      <t xml:space="preserve"> egyszerű szöveges állományt a két forrásállomány alapján</t>
    </r>
  </si>
  <si>
    <r>
      <t xml:space="preserve">A </t>
    </r>
    <r>
      <rPr>
        <i/>
        <sz val="11"/>
        <color theme="1"/>
        <rFont val="Courier New"/>
        <family val="3"/>
        <charset val="238"/>
      </rPr>
      <t>mars.txt</t>
    </r>
    <r>
      <rPr>
        <sz val="12"/>
        <color theme="1"/>
        <rFont val="Times New Roman"/>
        <family val="1"/>
        <charset val="238"/>
      </rPr>
      <t xml:space="preserve"> és a </t>
    </r>
    <r>
      <rPr>
        <i/>
        <sz val="11"/>
        <color theme="1"/>
        <rFont val="Courier New"/>
        <family val="3"/>
        <charset val="238"/>
      </rPr>
      <t>venus.txt</t>
    </r>
    <r>
      <rPr>
        <sz val="12"/>
        <color theme="1"/>
        <rFont val="Times New Roman"/>
        <family val="1"/>
        <charset val="238"/>
      </rPr>
      <t xml:space="preserve"> szöveges állomány csak az RA és Dec adatokat tartalmazó 365 sorból áll</t>
    </r>
  </si>
  <si>
    <r>
      <t xml:space="preserve">A </t>
    </r>
    <r>
      <rPr>
        <i/>
        <sz val="11"/>
        <color theme="1"/>
        <rFont val="Courier New"/>
        <family val="3"/>
        <charset val="238"/>
      </rPr>
      <t>mars.txt</t>
    </r>
    <r>
      <rPr>
        <sz val="12"/>
        <color theme="1"/>
        <rFont val="Times New Roman"/>
        <family val="1"/>
        <charset val="238"/>
      </rPr>
      <t xml:space="preserve"> és a </t>
    </r>
    <r>
      <rPr>
        <i/>
        <sz val="11"/>
        <color theme="1"/>
        <rFont val="Courier New"/>
        <family val="3"/>
        <charset val="238"/>
      </rPr>
      <t>venus.txt</t>
    </r>
    <r>
      <rPr>
        <sz val="12"/>
        <color theme="1"/>
        <rFont val="Times New Roman"/>
        <family val="1"/>
        <charset val="238"/>
      </rPr>
      <t xml:space="preserve"> szöveges állományban a pontokat vesszőre cserélte</t>
    </r>
  </si>
  <si>
    <t>Az adatok beolvasása</t>
  </si>
  <si>
    <r>
      <t xml:space="preserve">Létrehozott egy táblázatkezelő munkafüzetet, és mentette </t>
    </r>
    <r>
      <rPr>
        <i/>
        <sz val="11"/>
        <color theme="1"/>
        <rFont val="Courier New"/>
        <family val="3"/>
        <charset val="238"/>
      </rPr>
      <t>bolygopalyak</t>
    </r>
    <r>
      <rPr>
        <sz val="12"/>
        <color theme="1"/>
        <rFont val="Times New Roman"/>
        <family val="1"/>
        <charset val="238"/>
      </rPr>
      <t xml:space="preserve"> néven a program saját formátumában</t>
    </r>
  </si>
  <si>
    <r>
      <t xml:space="preserve">A Mars bolygó minden RA és Dec adatát a munkafüzet </t>
    </r>
    <r>
      <rPr>
        <b/>
        <i/>
        <sz val="12"/>
        <color theme="1"/>
        <rFont val="Times New Roman"/>
        <family val="1"/>
        <charset val="238"/>
      </rPr>
      <t>Mars</t>
    </r>
    <r>
      <rPr>
        <sz val="12"/>
        <color theme="1"/>
        <rFont val="Times New Roman"/>
        <family val="1"/>
        <charset val="238"/>
      </rPr>
      <t xml:space="preserve"> nevű munkalapján, a Vénusz bolygó minden RA és Dec adatát a munkafüzet </t>
    </r>
    <r>
      <rPr>
        <b/>
        <i/>
        <sz val="12"/>
        <color theme="1"/>
        <rFont val="Times New Roman"/>
        <family val="1"/>
        <charset val="238"/>
      </rPr>
      <t>Vénusz</t>
    </r>
    <r>
      <rPr>
        <sz val="12"/>
        <color theme="1"/>
        <rFont val="Times New Roman"/>
        <family val="1"/>
        <charset val="238"/>
      </rPr>
      <t xml:space="preserve"> nevű munkalapján helyezte el</t>
    </r>
  </si>
  <si>
    <r>
      <t xml:space="preserve">A </t>
    </r>
    <r>
      <rPr>
        <b/>
        <i/>
        <sz val="12"/>
        <color theme="1"/>
        <rFont val="Times New Roman"/>
        <family val="1"/>
        <charset val="238"/>
      </rPr>
      <t>Pályák</t>
    </r>
    <r>
      <rPr>
        <sz val="12"/>
        <color theme="1"/>
        <rFont val="Times New Roman"/>
        <family val="1"/>
        <charset val="238"/>
      </rPr>
      <t xml:space="preserve"> munkalap, a fejléc és az első oszlop létrehozása</t>
    </r>
  </si>
  <si>
    <r>
      <t xml:space="preserve">Létrehozott </t>
    </r>
    <r>
      <rPr>
        <b/>
        <i/>
        <sz val="12"/>
        <color theme="1"/>
        <rFont val="Times New Roman"/>
        <family val="1"/>
        <charset val="238"/>
      </rPr>
      <t>Pályák</t>
    </r>
    <r>
      <rPr>
        <sz val="12"/>
        <color theme="1"/>
        <rFont val="Times New Roman"/>
        <family val="1"/>
        <charset val="238"/>
      </rPr>
      <t xml:space="preserve"> nevű munkalapot a munkafüzetben, amely tartalmazza a </t>
    </r>
    <r>
      <rPr>
        <i/>
        <sz val="11"/>
        <color theme="1"/>
        <rFont val="Courier New"/>
        <family val="3"/>
        <charset val="238"/>
      </rPr>
      <t>fejlec.txt</t>
    </r>
    <r>
      <rPr>
        <sz val="12"/>
        <color theme="1"/>
        <rFont val="Times New Roman"/>
        <family val="1"/>
        <charset val="238"/>
      </rPr>
      <t xml:space="preserve"> szövegfájlban található fejléc szövegét</t>
    </r>
  </si>
  <si>
    <r>
      <t xml:space="preserve">A fejléc szövege a mintának megfelelően helyezkedik el az </t>
    </r>
    <r>
      <rPr>
        <i/>
        <sz val="12"/>
        <color theme="1"/>
        <rFont val="Times New Roman"/>
        <family val="1"/>
        <charset val="238"/>
      </rPr>
      <t>A1:Q2</t>
    </r>
    <r>
      <rPr>
        <sz val="12"/>
        <color theme="1"/>
        <rFont val="Times New Roman"/>
        <family val="1"/>
        <charset val="238"/>
      </rPr>
      <t xml:space="preserve"> tartomány celláiban</t>
    </r>
  </si>
  <si>
    <r>
      <t xml:space="preserve">Az </t>
    </r>
    <r>
      <rPr>
        <i/>
        <sz val="12"/>
        <color theme="1"/>
        <rFont val="Times New Roman"/>
        <family val="1"/>
        <charset val="238"/>
      </rPr>
      <t>A3:A367</t>
    </r>
    <r>
      <rPr>
        <sz val="12"/>
        <color theme="1"/>
        <rFont val="Times New Roman"/>
        <family val="1"/>
        <charset val="238"/>
      </rPr>
      <t xml:space="preserve"> tartomány celláiban képlettel vagy kitöltéssel megadta a 2022.01.01-től 2022.12.31-ig terjedő dátumértékeket</t>
    </r>
  </si>
  <si>
    <t>Hivatkozás a Mars adataira, az RA idő és a Dec szög számítása</t>
  </si>
  <si>
    <r>
      <t xml:space="preserve">A </t>
    </r>
    <r>
      <rPr>
        <i/>
        <sz val="12"/>
        <color theme="1"/>
        <rFont val="Times New Roman"/>
        <family val="1"/>
        <charset val="238"/>
      </rPr>
      <t>B3:G367</t>
    </r>
    <r>
      <rPr>
        <sz val="12"/>
        <color theme="1"/>
        <rFont val="Times New Roman"/>
        <family val="1"/>
        <charset val="238"/>
      </rPr>
      <t xml:space="preserve"> tartomány egy sorában hivatkozással megjelenítette a Mars adatait tartalmazó munkalapról a megfelelő naphoz tartozó RA értékeket</t>
    </r>
  </si>
  <si>
    <r>
      <t xml:space="preserve">A </t>
    </r>
    <r>
      <rPr>
        <i/>
        <sz val="12"/>
        <color theme="1"/>
        <rFont val="Times New Roman"/>
        <family val="1"/>
        <charset val="238"/>
      </rPr>
      <t>B3:D367</t>
    </r>
    <r>
      <rPr>
        <sz val="12"/>
        <color theme="1"/>
        <rFont val="Times New Roman"/>
        <family val="1"/>
        <charset val="238"/>
      </rPr>
      <t xml:space="preserve"> tartomány minden cellájában hivatkozással megjelenítette a megfelelő naphoz tartozó RA értékeket</t>
    </r>
  </si>
  <si>
    <r>
      <t xml:space="preserve">Az </t>
    </r>
    <r>
      <rPr>
        <i/>
        <sz val="12"/>
        <color theme="1"/>
        <rFont val="Times New Roman"/>
        <family val="1"/>
        <charset val="238"/>
      </rPr>
      <t>E3:G367</t>
    </r>
    <r>
      <rPr>
        <sz val="12"/>
        <color theme="1"/>
        <rFont val="Times New Roman"/>
        <family val="1"/>
        <charset val="238"/>
      </rPr>
      <t xml:space="preserve"> tartomány egy cellájában hivatkozással megjelenítette a megfelelő naphoz tartozó Dec értékeket</t>
    </r>
  </si>
  <si>
    <r>
      <t xml:space="preserve">Az </t>
    </r>
    <r>
      <rPr>
        <i/>
        <sz val="12"/>
        <color theme="1"/>
        <rFont val="Times New Roman"/>
        <family val="1"/>
        <charset val="238"/>
      </rPr>
      <t>E3:G367</t>
    </r>
    <r>
      <rPr>
        <sz val="12"/>
        <color theme="1"/>
        <rFont val="Times New Roman"/>
        <family val="1"/>
        <charset val="238"/>
      </rPr>
      <t xml:space="preserve"> tartomány minden cellájában hivatkozással megjelenítette a megfelelő naphoz tartozó Dec értékeket</t>
    </r>
  </si>
  <si>
    <r>
      <t xml:space="preserve">A </t>
    </r>
    <r>
      <rPr>
        <i/>
        <sz val="12"/>
        <color theme="1"/>
        <rFont val="Times New Roman"/>
        <family val="1"/>
        <charset val="238"/>
      </rPr>
      <t>H3:H367</t>
    </r>
    <r>
      <rPr>
        <sz val="12"/>
        <color theme="1"/>
        <rFont val="Times New Roman"/>
        <family val="1"/>
        <charset val="238"/>
      </rPr>
      <t xml:space="preserve"> tartomány egyik cellájában helyesen kiszámította az RA értékekből a rektaszcenzió idejét másodpercben (s)</t>
    </r>
  </si>
  <si>
    <r>
      <t xml:space="preserve">A </t>
    </r>
    <r>
      <rPr>
        <i/>
        <sz val="12"/>
        <color theme="1"/>
        <rFont val="Times New Roman"/>
        <family val="1"/>
        <charset val="238"/>
      </rPr>
      <t>H3:H367</t>
    </r>
    <r>
      <rPr>
        <sz val="12"/>
        <color theme="1"/>
        <rFont val="Times New Roman"/>
        <family val="1"/>
        <charset val="238"/>
      </rPr>
      <t xml:space="preserve"> tartomány minden cellájában helyesen kiszámította az RA értékekből a rektaszcenzió idejét másodpercben (s)</t>
    </r>
  </si>
  <si>
    <r>
      <t xml:space="preserve">Az </t>
    </r>
    <r>
      <rPr>
        <i/>
        <sz val="12"/>
        <color theme="1"/>
        <rFont val="Times New Roman"/>
        <family val="1"/>
        <charset val="238"/>
      </rPr>
      <t>I3:I367</t>
    </r>
    <r>
      <rPr>
        <sz val="12"/>
        <color theme="1"/>
        <rFont val="Times New Roman"/>
        <family val="1"/>
        <charset val="238"/>
      </rPr>
      <t xml:space="preserve"> tartomány egyik cellájában kiszámította a Dec értékekből a deklináció szögét fokban (°)</t>
    </r>
  </si>
  <si>
    <r>
      <t xml:space="preserve">Az </t>
    </r>
    <r>
      <rPr>
        <i/>
        <sz val="12"/>
        <color theme="1"/>
        <rFont val="Times New Roman"/>
        <family val="1"/>
        <charset val="238"/>
      </rPr>
      <t>I3:I367</t>
    </r>
    <r>
      <rPr>
        <sz val="12"/>
        <color theme="1"/>
        <rFont val="Times New Roman"/>
        <family val="1"/>
        <charset val="238"/>
      </rPr>
      <t xml:space="preserve"> tartomány minden cellájában kiszámította a Dec értékekből a deklináció szögét fokban (°)</t>
    </r>
  </si>
  <si>
    <t>Hivatkozás a Vénusz adataira, az RA idő és a Dec szög számítása</t>
  </si>
  <si>
    <r>
      <t xml:space="preserve">A </t>
    </r>
    <r>
      <rPr>
        <i/>
        <sz val="12"/>
        <color theme="1"/>
        <rFont val="Times New Roman"/>
        <family val="1"/>
        <charset val="238"/>
      </rPr>
      <t>J3:L367</t>
    </r>
    <r>
      <rPr>
        <sz val="12"/>
        <color theme="1"/>
        <rFont val="Times New Roman"/>
        <family val="1"/>
        <charset val="238"/>
      </rPr>
      <t xml:space="preserve"> tartomány minden cellájában hivatkozással megjelenítette a Vénusz adatait tartalmazó munkalapról a megfelelő naphoz tartozó RA értékeket</t>
    </r>
  </si>
  <si>
    <r>
      <t xml:space="preserve">Az </t>
    </r>
    <r>
      <rPr>
        <i/>
        <sz val="12"/>
        <color theme="1"/>
        <rFont val="Times New Roman"/>
        <family val="1"/>
        <charset val="238"/>
      </rPr>
      <t>M3:O367</t>
    </r>
    <r>
      <rPr>
        <sz val="12"/>
        <color theme="1"/>
        <rFont val="Times New Roman"/>
        <family val="1"/>
        <charset val="238"/>
      </rPr>
      <t xml:space="preserve"> tartomány minden cellájában hivatkozással megjelenítette a megfelelő naphoz tartozó Dec értékeket</t>
    </r>
  </si>
  <si>
    <r>
      <t xml:space="preserve">A </t>
    </r>
    <r>
      <rPr>
        <i/>
        <sz val="12"/>
        <color theme="1"/>
        <rFont val="Times New Roman"/>
        <family val="1"/>
        <charset val="238"/>
      </rPr>
      <t>P3:P367</t>
    </r>
    <r>
      <rPr>
        <sz val="12"/>
        <color theme="1"/>
        <rFont val="Times New Roman"/>
        <family val="1"/>
        <charset val="238"/>
      </rPr>
      <t xml:space="preserve"> tartomány minden cellájában kiszámította a Vénusz esetében a rektaszcenzió RA idejét másodpercben (s)</t>
    </r>
  </si>
  <si>
    <r>
      <t>A Q</t>
    </r>
    <r>
      <rPr>
        <i/>
        <sz val="12"/>
        <color theme="1"/>
        <rFont val="Times New Roman"/>
        <family val="1"/>
        <charset val="238"/>
      </rPr>
      <t>3:Q367</t>
    </r>
    <r>
      <rPr>
        <sz val="12"/>
        <color theme="1"/>
        <rFont val="Times New Roman"/>
        <family val="1"/>
        <charset val="238"/>
      </rPr>
      <t xml:space="preserve"> tartomány minden cellájában kiszámította a Dec értékekből a deklináció szögét fokban (°)</t>
    </r>
  </si>
  <si>
    <r>
      <t xml:space="preserve">A táblázat formázása a </t>
    </r>
    <r>
      <rPr>
        <b/>
        <i/>
        <sz val="12"/>
        <color theme="1"/>
        <rFont val="Times New Roman"/>
        <family val="1"/>
        <charset val="238"/>
      </rPr>
      <t>Pályák</t>
    </r>
    <r>
      <rPr>
        <sz val="12"/>
        <color theme="1"/>
        <rFont val="Times New Roman"/>
        <family val="1"/>
        <charset val="238"/>
      </rPr>
      <t xml:space="preserve"> munkalapon</t>
    </r>
  </si>
  <si>
    <t>Az oszlopszélességeket úgy állította be, hogy a munkalapon minden cella értéke olvasható</t>
  </si>
  <si>
    <r>
      <t xml:space="preserve">A </t>
    </r>
    <r>
      <rPr>
        <i/>
        <sz val="12"/>
        <color theme="1"/>
        <rFont val="Times New Roman"/>
        <family val="1"/>
        <charset val="238"/>
      </rPr>
      <t>B:G</t>
    </r>
    <r>
      <rPr>
        <sz val="12"/>
        <color theme="1"/>
        <rFont val="Times New Roman"/>
        <family val="1"/>
        <charset val="238"/>
      </rPr>
      <t xml:space="preserve"> és a </t>
    </r>
    <r>
      <rPr>
        <i/>
        <sz val="12"/>
        <color theme="1"/>
        <rFont val="Times New Roman"/>
        <family val="1"/>
        <charset val="238"/>
      </rPr>
      <t>J:O</t>
    </r>
    <r>
      <rPr>
        <sz val="12"/>
        <color theme="1"/>
        <rFont val="Times New Roman"/>
        <family val="1"/>
        <charset val="238"/>
      </rPr>
      <t xml:space="preserve"> tartományban azonos oszlopszélességet állított be</t>
    </r>
  </si>
  <si>
    <r>
      <t xml:space="preserve">A </t>
    </r>
    <r>
      <rPr>
        <i/>
        <sz val="12"/>
        <color theme="1"/>
        <rFont val="Times New Roman"/>
        <family val="1"/>
        <charset val="238"/>
      </rPr>
      <t>G:H</t>
    </r>
    <r>
      <rPr>
        <sz val="12"/>
        <color theme="1"/>
        <rFont val="Times New Roman"/>
        <family val="1"/>
        <charset val="238"/>
      </rPr>
      <t xml:space="preserve"> és az </t>
    </r>
    <r>
      <rPr>
        <i/>
        <sz val="12"/>
        <color theme="1"/>
        <rFont val="Times New Roman"/>
        <family val="1"/>
        <charset val="238"/>
      </rPr>
      <t>O:P</t>
    </r>
    <r>
      <rPr>
        <sz val="12"/>
        <color theme="1"/>
        <rFont val="Times New Roman"/>
        <family val="1"/>
        <charset val="238"/>
      </rPr>
      <t xml:space="preserve"> tartomány számainál egy tizedesjeggyel, az </t>
    </r>
    <r>
      <rPr>
        <i/>
        <sz val="12"/>
        <color theme="1"/>
        <rFont val="Times New Roman"/>
        <family val="1"/>
        <charset val="238"/>
      </rPr>
      <t>I</t>
    </r>
    <r>
      <rPr>
        <sz val="12"/>
        <color theme="1"/>
        <rFont val="Times New Roman"/>
        <family val="1"/>
        <charset val="238"/>
      </rPr>
      <t xml:space="preserve"> és a </t>
    </r>
    <r>
      <rPr>
        <i/>
        <sz val="12"/>
        <color theme="1"/>
        <rFont val="Times New Roman"/>
        <family val="1"/>
        <charset val="238"/>
      </rPr>
      <t>Q</t>
    </r>
    <r>
      <rPr>
        <sz val="12"/>
        <color theme="1"/>
        <rFont val="Times New Roman"/>
        <family val="1"/>
        <charset val="238"/>
      </rPr>
      <t xml:space="preserve"> oszlop számainál három tizedesjeggyel történő megjelenítést állított be</t>
    </r>
  </si>
  <si>
    <r>
      <t xml:space="preserve">A </t>
    </r>
    <r>
      <rPr>
        <i/>
        <sz val="12"/>
        <color theme="1"/>
        <rFont val="Times New Roman"/>
        <family val="1"/>
        <charset val="238"/>
      </rPr>
      <t>H:I</t>
    </r>
    <r>
      <rPr>
        <sz val="12"/>
        <color theme="1"/>
        <rFont val="Times New Roman"/>
        <family val="1"/>
        <charset val="238"/>
      </rPr>
      <t xml:space="preserve"> és a </t>
    </r>
    <r>
      <rPr>
        <i/>
        <sz val="12"/>
        <color theme="1"/>
        <rFont val="Times New Roman"/>
        <family val="1"/>
        <charset val="238"/>
      </rPr>
      <t>P:Q</t>
    </r>
    <r>
      <rPr>
        <sz val="12"/>
        <color theme="1"/>
        <rFont val="Times New Roman"/>
        <family val="1"/>
        <charset val="238"/>
      </rPr>
      <t xml:space="preserve"> tartományokban azonos oszlopszélességet állított be</t>
    </r>
  </si>
  <si>
    <r>
      <t xml:space="preserve">A </t>
    </r>
    <r>
      <rPr>
        <i/>
        <sz val="12"/>
        <color theme="1"/>
        <rFont val="Times New Roman"/>
        <family val="1"/>
        <charset val="238"/>
      </rPr>
      <t>B1:I1</t>
    </r>
    <r>
      <rPr>
        <sz val="12"/>
        <color theme="1"/>
        <rFont val="Times New Roman"/>
        <family val="1"/>
        <charset val="238"/>
      </rPr>
      <t xml:space="preserve"> tartomány celláit és a </t>
    </r>
    <r>
      <rPr>
        <i/>
        <sz val="12"/>
        <color theme="1"/>
        <rFont val="Times New Roman"/>
        <family val="1"/>
        <charset val="238"/>
      </rPr>
      <t>J1:Q1</t>
    </r>
    <r>
      <rPr>
        <sz val="12"/>
        <color theme="1"/>
        <rFont val="Times New Roman"/>
        <family val="1"/>
        <charset val="238"/>
      </rPr>
      <t xml:space="preserve"> tartomány celláit összevonta, azokban a „</t>
    </r>
    <r>
      <rPr>
        <b/>
        <i/>
        <sz val="12"/>
        <color theme="1"/>
        <rFont val="Times New Roman"/>
        <family val="1"/>
        <charset val="238"/>
      </rPr>
      <t>Mars</t>
    </r>
    <r>
      <rPr>
        <sz val="12"/>
        <color theme="1"/>
        <rFont val="Times New Roman"/>
        <family val="1"/>
        <charset val="238"/>
      </rPr>
      <t>” és „</t>
    </r>
    <r>
      <rPr>
        <b/>
        <i/>
        <sz val="12"/>
        <color theme="1"/>
        <rFont val="Times New Roman"/>
        <family val="1"/>
        <charset val="238"/>
      </rPr>
      <t>Vénusz</t>
    </r>
    <r>
      <rPr>
        <sz val="12"/>
        <color theme="1"/>
        <rFont val="Times New Roman"/>
        <family val="1"/>
        <charset val="238"/>
      </rPr>
      <t>” szöveg jelenik meg vízszintesen középre igazítva</t>
    </r>
  </si>
  <si>
    <t>A fejléc második sorában a cellákat vízszintesen középre igazította</t>
  </si>
  <si>
    <t>A fejléc szövegében félkövér betűstílust állított be</t>
  </si>
  <si>
    <t>A táblázat nem üres celláit folytonos vonallal szegélyezte</t>
  </si>
  <si>
    <t>A bolygók mozgásának Dec értékeit ábrázoló diagram</t>
  </si>
  <si>
    <t>Létrehozott egy diagramot, amely a két bolygó mozgásának Dec értékeit jeleníti meg a teljes évre vonatkozóan</t>
  </si>
  <si>
    <t>Legalább az egyik bolygó fokban (°) számított Dec szögei megjelennek egy vonal típusú diagramon Y értékként</t>
  </si>
  <si>
    <t>Mindkét bolygó fokban (°) számított Dec szögei megjelennek egy vonal típusú diagramon Y értékként</t>
  </si>
  <si>
    <t>A diagram nem tartalmaz jelmagyarázatot és a kategória (X) tengely feliratokat</t>
  </si>
  <si>
    <t>A Mars adatsora piros színű, a Vénuszé kék</t>
  </si>
  <si>
    <r>
      <t>A diagram címe „</t>
    </r>
    <r>
      <rPr>
        <sz val="12"/>
        <color rgb="FF000000"/>
        <rFont val="Times New Roman"/>
        <family val="1"/>
        <charset val="238"/>
      </rPr>
      <t>A Mars és a Vénusz mozgása 2022-ben - Dec</t>
    </r>
    <r>
      <rPr>
        <sz val="12"/>
        <color theme="1"/>
        <rFont val="Times New Roman"/>
        <family val="1"/>
        <charset val="238"/>
      </rPr>
      <t>” szöveg, és a címet elhelyezte a mintának megfelelően</t>
    </r>
  </si>
  <si>
    <r>
      <t xml:space="preserve">A diagramot elhelyezte az </t>
    </r>
    <r>
      <rPr>
        <i/>
        <sz val="12"/>
        <color theme="1"/>
        <rFont val="Times New Roman"/>
        <family val="1"/>
        <charset val="238"/>
      </rPr>
      <t>R1:AE30</t>
    </r>
    <r>
      <rPr>
        <sz val="12"/>
        <color theme="1"/>
        <rFont val="Times New Roman"/>
        <family val="1"/>
        <charset val="238"/>
      </rPr>
      <t xml:space="preserve"> tartomány cellái fölött</t>
    </r>
  </si>
  <si>
    <t>2. Asztalitenisz</t>
  </si>
  <si>
    <t>Egyetlen elmentett lekérdezésben sem szerepel a feladat által nem kért mező</t>
  </si>
  <si>
    <r>
      <t>2harczi</t>
    </r>
    <r>
      <rPr>
        <sz val="12"/>
        <color theme="1"/>
        <rFont val="Times New Roman"/>
        <family val="1"/>
        <charset val="238"/>
      </rPr>
      <t xml:space="preserve"> lekérdezés</t>
    </r>
  </si>
  <si>
    <t>A lekérdezésben a bajnoki cím éve és a versenyszám neve megjelenik</t>
  </si>
  <si>
    <t>Használja a szükséges táblákat helyes kapcsolattal</t>
  </si>
  <si>
    <r>
      <t>A szűrés helyes „</t>
    </r>
    <r>
      <rPr>
        <b/>
        <i/>
        <sz val="12"/>
        <color theme="1"/>
        <rFont val="Times New Roman"/>
        <family val="1"/>
        <charset val="238"/>
      </rPr>
      <t>Harczi Zsolt</t>
    </r>
    <r>
      <rPr>
        <sz val="12"/>
        <color theme="1"/>
        <rFont val="Times New Roman"/>
        <family val="1"/>
        <charset val="238"/>
      </rPr>
      <t>” nevére</t>
    </r>
  </si>
  <si>
    <r>
      <t>3vegyes</t>
    </r>
    <r>
      <rPr>
        <sz val="12"/>
        <color theme="1"/>
        <rFont val="Times New Roman"/>
        <family val="1"/>
        <charset val="238"/>
      </rPr>
      <t xml:space="preserve"> lekérdezés</t>
    </r>
  </si>
  <si>
    <t>Meghatározta és megjelenítette a legkorábbi évet</t>
  </si>
  <si>
    <t>A szükséges táblákat használja, helyes kapcsolattal</t>
  </si>
  <si>
    <t>A szűrés helyes a versenyszám nevére</t>
  </si>
  <si>
    <r>
      <t>4letszam</t>
    </r>
    <r>
      <rPr>
        <sz val="12"/>
        <color theme="1"/>
        <rFont val="Times New Roman"/>
        <family val="1"/>
        <charset val="238"/>
      </rPr>
      <t xml:space="preserve"> lekérdezés</t>
    </r>
  </si>
  <si>
    <t>Csoportosított a játékosok neme szerint</t>
  </si>
  <si>
    <r>
      <t>Helyes függvénnyel (</t>
    </r>
    <r>
      <rPr>
        <sz val="9"/>
        <color theme="1"/>
        <rFont val="Courier New"/>
        <family val="3"/>
        <charset val="238"/>
      </rPr>
      <t>Count()</t>
    </r>
    <r>
      <rPr>
        <sz val="12"/>
        <color theme="1"/>
        <rFont val="Times New Roman"/>
        <family val="1"/>
        <charset val="238"/>
      </rPr>
      <t>) számol rekordokat mind a két nemre</t>
    </r>
  </si>
  <si>
    <t>Helyesen jeleníti meg a nemek feliratait</t>
  </si>
  <si>
    <r>
      <t>5kulfoldiek</t>
    </r>
    <r>
      <rPr>
        <sz val="12"/>
        <color theme="1"/>
        <rFont val="Times New Roman"/>
        <family val="1"/>
        <charset val="238"/>
      </rPr>
      <t xml:space="preserve"> lekérdezés</t>
    </r>
  </si>
  <si>
    <r>
      <t xml:space="preserve">Az </t>
    </r>
    <r>
      <rPr>
        <i/>
        <sz val="12"/>
        <color theme="1"/>
        <rFont val="Times New Roman"/>
        <family val="1"/>
        <charset val="238"/>
      </rPr>
      <t>orszag</t>
    </r>
    <r>
      <rPr>
        <sz val="12"/>
        <color theme="1"/>
        <rFont val="Times New Roman"/>
        <family val="1"/>
        <charset val="238"/>
      </rPr>
      <t xml:space="preserve"> mező megjelenik</t>
    </r>
  </si>
  <si>
    <t>Biztosította, hogy minden ország csak egyszer jelenjen meg</t>
  </si>
  <si>
    <t>Helyesen szűrt a 2000. utáni évekre</t>
  </si>
  <si>
    <t>A megjelenített országok közül kizárta Magyarországot</t>
  </si>
  <si>
    <r>
      <t>6mtk</t>
    </r>
    <r>
      <rPr>
        <sz val="12"/>
        <color theme="1"/>
        <rFont val="Times New Roman"/>
        <family val="1"/>
        <charset val="238"/>
      </rPr>
      <t xml:space="preserve"> lekérdezés</t>
    </r>
  </si>
  <si>
    <r>
      <t xml:space="preserve">A </t>
    </r>
    <r>
      <rPr>
        <i/>
        <sz val="12"/>
        <color theme="1"/>
        <rFont val="Times New Roman"/>
        <family val="1"/>
        <charset val="238"/>
      </rPr>
      <t>jatekos.nev</t>
    </r>
    <r>
      <rPr>
        <sz val="12"/>
        <color theme="1"/>
        <rFont val="Times New Roman"/>
        <family val="1"/>
        <charset val="238"/>
      </rPr>
      <t xml:space="preserve"> mező megjelenik</t>
    </r>
  </si>
  <si>
    <t>Helyes kapcsolattal használja a szükséges táblákat</t>
  </si>
  <si>
    <t>Helyesen biztosította a nevek egyedi megjelenítését</t>
  </si>
  <si>
    <t>Az adatokat rendezte a játékos neme, azon belül neve szerint, a rendezés iránya helyes</t>
  </si>
  <si>
    <r>
      <t>7egyszer</t>
    </r>
    <r>
      <rPr>
        <sz val="12"/>
        <color theme="1"/>
        <rFont val="Times New Roman"/>
        <family val="1"/>
        <charset val="238"/>
      </rPr>
      <t xml:space="preserve"> lekérdezés</t>
    </r>
  </si>
  <si>
    <r>
      <t xml:space="preserve">A lekérdezésben a </t>
    </r>
    <r>
      <rPr>
        <i/>
        <sz val="12"/>
        <color theme="1"/>
        <rFont val="Times New Roman"/>
        <family val="1"/>
        <charset val="238"/>
      </rPr>
      <t>jatekos.nev, ev</t>
    </r>
    <r>
      <rPr>
        <sz val="12"/>
        <color theme="1"/>
        <rFont val="Times New Roman"/>
        <family val="1"/>
        <charset val="238"/>
      </rPr>
      <t xml:space="preserve"> és </t>
    </r>
    <r>
      <rPr>
        <i/>
        <sz val="12"/>
        <color theme="1"/>
        <rFont val="Times New Roman"/>
        <family val="1"/>
        <charset val="238"/>
      </rPr>
      <t>versenyszam.nev</t>
    </r>
    <r>
      <rPr>
        <sz val="12"/>
        <color theme="1"/>
        <rFont val="Times New Roman"/>
        <family val="1"/>
        <charset val="238"/>
      </rPr>
      <t xml:space="preserve"> mezők megjelennek</t>
    </r>
  </si>
  <si>
    <t>Helyes kapcsolattal használja a szükséges táblákat, és más táblát nem</t>
  </si>
  <si>
    <t>Csoportosított a játékos azonosítója szerint</t>
  </si>
  <si>
    <t>A játékoshoz meghatározta a bajnoki címek számát</t>
  </si>
  <si>
    <t>Helyesen szűrt az egy bajnoki címet szerzettekre</t>
  </si>
  <si>
    <r>
      <t>8sokaig</t>
    </r>
    <r>
      <rPr>
        <sz val="12"/>
        <color theme="1"/>
        <rFont val="Times New Roman"/>
        <family val="1"/>
        <charset val="238"/>
      </rPr>
      <t xml:space="preserve"> lekérdezés</t>
    </r>
  </si>
  <si>
    <r>
      <t xml:space="preserve">A </t>
    </r>
    <r>
      <rPr>
        <i/>
        <sz val="12"/>
        <color theme="1"/>
        <rFont val="Times New Roman"/>
        <family val="1"/>
        <charset val="238"/>
      </rPr>
      <t>nev</t>
    </r>
    <r>
      <rPr>
        <sz val="12"/>
        <color theme="1"/>
        <rFont val="Times New Roman"/>
        <family val="1"/>
        <charset val="238"/>
      </rPr>
      <t xml:space="preserve"> mező megjelenik, és helyes kapcsolattal használja a szükséges táblákat</t>
    </r>
  </si>
  <si>
    <t>Helyesen határozza és jeleníti meg az első és utolsó bajnoki cím évének különbségét</t>
  </si>
  <si>
    <r>
      <t xml:space="preserve">Csoportosít a </t>
    </r>
    <r>
      <rPr>
        <i/>
        <sz val="12"/>
        <color theme="1"/>
        <rFont val="Times New Roman"/>
        <family val="1"/>
        <charset val="238"/>
      </rPr>
      <t>jatekos.id</t>
    </r>
    <r>
      <rPr>
        <sz val="12"/>
        <color theme="1"/>
        <rFont val="Times New Roman"/>
        <family val="1"/>
        <charset val="238"/>
      </rPr>
      <t xml:space="preserve"> mező szerint</t>
    </r>
  </si>
  <si>
    <t>A csoportszűrés helyes az első és utolsó bajnoki cím évének különbségére</t>
  </si>
  <si>
    <t>A lista csökkenő sorrendbe rendezett a számított évek száma szerint</t>
  </si>
  <si>
    <r>
      <t>9parok</t>
    </r>
    <r>
      <rPr>
        <sz val="12"/>
        <color theme="1"/>
        <rFont val="Times New Roman"/>
        <family val="1"/>
        <charset val="238"/>
      </rPr>
      <t xml:space="preserve"> lekérdezés</t>
    </r>
  </si>
  <si>
    <r>
      <t xml:space="preserve">A lekérdezésben a </t>
    </r>
    <r>
      <rPr>
        <i/>
        <sz val="12"/>
        <color theme="1"/>
        <rFont val="Times New Roman"/>
        <family val="1"/>
        <charset val="238"/>
      </rPr>
      <t>jatekos.nev</t>
    </r>
    <r>
      <rPr>
        <sz val="12"/>
        <color theme="1"/>
        <rFont val="Times New Roman"/>
        <family val="1"/>
        <charset val="238"/>
      </rPr>
      <t xml:space="preserve"> mező megjelenik, biztosította az egyediséget, és helyes kapcsolattal használja a szükséges táblákat</t>
    </r>
  </si>
  <si>
    <t>Meghatározta azon éveket, amelyekben Pergel Szandra vegyes párosban bajnoki címet nyert, és ezt helyesen építette be a lekérdezésbe</t>
  </si>
  <si>
    <t>Szűrési feltétellel biztosította, hogy a vegyespáros-játékosok jelennek meg az eredményben</t>
  </si>
  <si>
    <t>Szűrési feltétellel biztosította, hogy csak a férfi partnerei jelennek meg az eredményben, önmaga nem</t>
  </si>
  <si>
    <t>3. Autók mozgása</t>
  </si>
  <si>
    <t>Létezik a forrásprogram</t>
  </si>
  <si>
    <r>
      <t xml:space="preserve">Létrehozta a program forráskódját </t>
    </r>
    <r>
      <rPr>
        <i/>
        <sz val="11"/>
        <color theme="1"/>
        <rFont val="Courier New"/>
        <family val="3"/>
        <charset val="238"/>
      </rPr>
      <t>autok</t>
    </r>
    <r>
      <rPr>
        <sz val="12"/>
        <color theme="1"/>
        <rFont val="Times New Roman"/>
        <family val="1"/>
        <charset val="238"/>
      </rPr>
      <t xml:space="preserve"> néven</t>
    </r>
  </si>
  <si>
    <r>
      <t xml:space="preserve">Van olyan képernyőre írást igénylő feladat, amelynél megjelenítette a feladat sorszámát (például </t>
    </r>
    <r>
      <rPr>
        <sz val="11"/>
        <color rgb="FF000000"/>
        <rFont val="Courier New"/>
        <family val="3"/>
        <charset val="238"/>
      </rPr>
      <t>2. feladat:</t>
    </r>
    <r>
      <rPr>
        <sz val="12"/>
        <color theme="1"/>
        <rFont val="Times New Roman"/>
        <family val="1"/>
        <charset val="238"/>
      </rPr>
      <t>), és – ha kellett – utalt a felhasználótól bekért tartalomra</t>
    </r>
  </si>
  <si>
    <t>Minden képernyőre írást igénylő, megoldott feladatnál megjelenítette a feladat sorszámát, és – ha kellett – utalt a bekért tartalomra</t>
  </si>
  <si>
    <t>Minden a képernyőn eredményt megjelenítő feladatnál utalt a tartalomra</t>
  </si>
  <si>
    <t>Megnyitotta a megadott fájlt, és egy sorát helyesen beolvasta</t>
  </si>
  <si>
    <t>Az összes adatot beolvasta és eltárolta</t>
  </si>
  <si>
    <t>Az utolsó jeladás időpontja és a jármű rendszáma</t>
  </si>
  <si>
    <t>Kiírta az utolsó jeladás időpontját</t>
  </si>
  <si>
    <t>Kiírta az utolsó jeladást sugárzó jármű rendszámát</t>
  </si>
  <si>
    <t>Az első jármű jeladásai</t>
  </si>
  <si>
    <t>Kiírta a bemeneti állományban elsőként szereplő jármű rendszámát</t>
  </si>
  <si>
    <t>Legalább egy jeladás esetén helyesen megállapította, hogy az az első járműhöz tartozik</t>
  </si>
  <si>
    <t>Minden jeladásról helyesen megállapította, hogy az az első járműhöz tartozik-e</t>
  </si>
  <si>
    <t>Legalább egy, az első járműhöz tartozó jeladás időpontját kiírta</t>
  </si>
  <si>
    <t>Az első járműhöz tartozó összes jeladás időpontját kiírta</t>
  </si>
  <si>
    <r>
      <t xml:space="preserve">A jeladások időpontját </t>
    </r>
    <r>
      <rPr>
        <sz val="12"/>
        <color rgb="FF000000"/>
        <rFont val="Times New Roman"/>
        <family val="1"/>
        <charset val="238"/>
      </rPr>
      <t>óra:perc</t>
    </r>
    <r>
      <rPr>
        <sz val="12"/>
        <color theme="1"/>
        <rFont val="Times New Roman"/>
        <family val="1"/>
        <charset val="238"/>
      </rPr>
      <t xml:space="preserve"> formátumban jelenítette meg</t>
    </r>
  </si>
  <si>
    <t>A jeladások időpontjait egy sorban, szóközzel elválasztva jelenítette meg</t>
  </si>
  <si>
    <t>Az egy időpontban történt jeladások száma</t>
  </si>
  <si>
    <t>Bekérte egy időpont óra és perc értékét</t>
  </si>
  <si>
    <t>Legalább egy jeladásról helyesen megállapította, hogy a bekért időpontban történt-e</t>
  </si>
  <si>
    <t>Minden jeladásról helyesen megállapította, hogy a bekért időpontban történt-e</t>
  </si>
  <si>
    <t>Helyesen megszámolta a bekért időpontban történt jeladásokat</t>
  </si>
  <si>
    <t>Kiírta a megszámlálás eredményét, illetve 0 jeladás esetén a 0-t</t>
  </si>
  <si>
    <t>A legnagyobb sebesség és az azzal haladó járművek</t>
  </si>
  <si>
    <t>Megállapította a legnagyobb sebesség értékét</t>
  </si>
  <si>
    <t>Megjelenítette a legnagyobb sebesség értékét</t>
  </si>
  <si>
    <t>Legalább egy járműről eldöntötte, hogy a legnagyobb sebességgel haladt-e</t>
  </si>
  <si>
    <t>Legalább egy legnagyobb sebességgel haladó jármű rendszámát kiírta</t>
  </si>
  <si>
    <t>Minden legnagyobb sebességgel haladó jármű rendszámát kiírta</t>
  </si>
  <si>
    <t>Megjelenítette a legnagyobb sebességgel haladó járművek rendszámát egy sorban, a rendszámokat egy szóközzel választotta el</t>
  </si>
  <si>
    <t>Egy jármű jeladásainak időpontjai és a távolságok</t>
  </si>
  <si>
    <t>Bekérte egy jármű rendszámát</t>
  </si>
  <si>
    <t>Kereste a bekért rendszámú jármű első jeladását a jeladások között</t>
  </si>
  <si>
    <t>Ha nem található a bekért rendszám a jeladások között, akkor azt szöveges üzenettel jelezte a felhasználónak</t>
  </si>
  <si>
    <t>Ha megtalálható a bekért rendszám a jeladások között, akkor meghatározta annak első előfordulását</t>
  </si>
  <si>
    <t>Kiírta a bekért rendszámú jármű első jeladásának idejét és a nulla távolságot</t>
  </si>
  <si>
    <t>Ha megtalálható a bekért rendszám a jeladások között, akkor meghatározta annak további előfordulásait</t>
  </si>
  <si>
    <t>Megtalálta a bekért rendszám minden előfordulását a jeladások között</t>
  </si>
  <si>
    <t>Minden megtalált, nem első jeladás esetében helyesen kiszámította a jármű távolságát az útszakasz kezdetétől</t>
  </si>
  <si>
    <t>Minden megtalált, nem első jeladás esetében kiírta a jeladás időpontját és a jármű távolságát az útszakasz kezdetétől</t>
  </si>
  <si>
    <t>Minden megtalált jeladást külön sorba írt, egy-egy sorban a jeladás időpontja és a kiszámított távolság szerepel</t>
  </si>
  <si>
    <r>
      <t xml:space="preserve">A jeladások időpontját </t>
    </r>
    <r>
      <rPr>
        <sz val="12"/>
        <color rgb="FF000000"/>
        <rFont val="Times New Roman"/>
        <family val="1"/>
        <charset val="238"/>
      </rPr>
      <t>óra:perc</t>
    </r>
    <r>
      <rPr>
        <sz val="12"/>
        <color theme="1"/>
        <rFont val="Times New Roman"/>
        <family val="1"/>
        <charset val="238"/>
      </rPr>
      <t xml:space="preserve"> formátumban jelenítette meg, a távolságot egy tizedesjegyre kerekítve és </t>
    </r>
    <r>
      <rPr>
        <sz val="12"/>
        <color rgb="FF000000"/>
        <rFont val="Times New Roman"/>
        <family val="1"/>
        <charset val="238"/>
      </rPr>
      <t>km</t>
    </r>
    <r>
      <rPr>
        <sz val="12"/>
        <color theme="1"/>
        <rFont val="Times New Roman"/>
        <family val="1"/>
        <charset val="238"/>
      </rPr>
      <t xml:space="preserve"> mértékegységgel írta ki</t>
    </r>
  </si>
  <si>
    <r>
      <t xml:space="preserve">Az </t>
    </r>
    <r>
      <rPr>
        <i/>
        <sz val="11"/>
        <color theme="1"/>
        <rFont val="Courier New"/>
        <family val="3"/>
        <charset val="238"/>
      </rPr>
      <t>ido.txt</t>
    </r>
    <r>
      <rPr>
        <sz val="12"/>
        <color theme="1"/>
        <rFont val="Times New Roman"/>
        <family val="1"/>
        <charset val="238"/>
      </rPr>
      <t xml:space="preserve"> szöveges állomány elkészítése</t>
    </r>
  </si>
  <si>
    <r>
      <t xml:space="preserve">A program létrehozott egy szöveges állományt </t>
    </r>
    <r>
      <rPr>
        <i/>
        <sz val="11"/>
        <color theme="1"/>
        <rFont val="Courier New"/>
        <family val="3"/>
        <charset val="238"/>
      </rPr>
      <t>ido.txt</t>
    </r>
    <r>
      <rPr>
        <sz val="12"/>
        <color theme="1"/>
        <rFont val="Times New Roman"/>
        <family val="1"/>
        <charset val="238"/>
      </rPr>
      <t xml:space="preserve"> néven</t>
    </r>
  </si>
  <si>
    <t>A szöveges állományban legalább egy autó rendszámát kiírta</t>
  </si>
  <si>
    <t>A szöveges állományban minden autó rendszámát kiírta</t>
  </si>
  <si>
    <t>A szöveges állományban minden autó rendszámát pontosan egyszer írta ki</t>
  </si>
  <si>
    <t>Megállapította legalább egy autó esetében az első jeladás időpontját</t>
  </si>
  <si>
    <t>Megállapította minden autó esetében az első jeladás időpontját</t>
  </si>
  <si>
    <t>Megállapította legalább egy autó esetében az utolsó jeladás időpontját</t>
  </si>
  <si>
    <t>Megállapította minden autó esetében az utolsó jeladás időpontját</t>
  </si>
  <si>
    <t>A szöveges állomány egy-egy sorában az autó rendszáma, az első jeladás óra és perc értéke, valamint az utolsó jeladás óra és perc értéke szerepel, közöttük szóköz az elválasztójel</t>
  </si>
  <si>
    <t>1A. Iskolacsalogató</t>
  </si>
  <si>
    <t>1B. Bolygópályák</t>
  </si>
  <si>
    <r>
      <t xml:space="preserve">Elhelyezte a </t>
    </r>
    <r>
      <rPr>
        <i/>
        <sz val="11"/>
        <color theme="1"/>
        <rFont val="Courier New"/>
        <family val="3"/>
        <charset val="238"/>
      </rPr>
      <t>robot.png</t>
    </r>
    <r>
      <rPr>
        <sz val="12"/>
        <color theme="1"/>
        <rFont val="Times New Roman"/>
        <family val="1"/>
        <charset val="238"/>
      </rPr>
      <t xml:space="preserve"> képet a minta szerint</t>
    </r>
  </si>
  <si>
    <t>Azonosító jel:</t>
  </si>
  <si>
    <t>A robot testén lévő fehér téglalapot leretusálta, helyén a test színe jelenik meg</t>
  </si>
  <si>
    <r>
      <t xml:space="preserve">A bekezdés alatt elhelyezte a korábban elkészített </t>
    </r>
    <r>
      <rPr>
        <i/>
        <sz val="11"/>
        <color theme="1"/>
        <rFont val="Courier New"/>
        <family val="3"/>
        <charset val="238"/>
      </rPr>
      <t xml:space="preserve">grafika.png </t>
    </r>
    <r>
      <rPr>
        <sz val="12"/>
        <color theme="1"/>
        <rFont val="Times New Roman"/>
        <family val="1"/>
        <charset val="238"/>
      </rPr>
      <t xml:space="preserve">képet (vagy a </t>
    </r>
    <r>
      <rPr>
        <i/>
        <sz val="11"/>
        <color theme="1"/>
        <rFont val="Courier New"/>
        <family val="3"/>
        <charset val="238"/>
      </rPr>
      <t>plakat.png</t>
    </r>
    <r>
      <rPr>
        <sz val="12"/>
        <color theme="1"/>
        <rFont val="Times New Roman"/>
        <family val="1"/>
        <charset val="238"/>
      </rPr>
      <t xml:space="preserve"> képet) az </t>
    </r>
    <r>
      <rPr>
        <i/>
        <sz val="11"/>
        <color theme="1"/>
        <rFont val="Courier New"/>
        <family val="3"/>
        <charset val="238"/>
      </rPr>
      <t>&lt;img&gt;</t>
    </r>
    <r>
      <rPr>
        <sz val="12"/>
        <color theme="1"/>
        <rFont val="Times New Roman"/>
        <family val="1"/>
        <charset val="238"/>
      </rPr>
      <t xml:space="preserve"> címkét használva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</si>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</sst>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&quot; pont&quot;"/>
    <numFmt numFmtId="165" formatCode="General&quot; pont&quot;"/>
  </numFmts>
  <fonts count="23" x14ac:knownFonts="1">
    <font>
      <sz val="11"/>
      <color theme="1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sz val="12"/>
      <color indexed="8"/>
      <name val="Times New Roman"/>
      <family val="1"/>
      <charset val="238"/>
    </font>
    <font>
      <b/>
      <sz val="12"/>
      <color indexed="8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sz val="16"/>
      <color indexed="8"/>
      <name val="Calibri"/>
      <family val="2"/>
      <charset val="238"/>
    </font>
    <font>
      <sz val="11"/>
      <color rgb="FFFF0000"/>
      <name val="Calibri"/>
      <family val="2"/>
      <charset val="238"/>
      <scheme val="minor"/>
    </font>
    <font>
      <i/>
      <sz val="11"/>
      <color theme="1"/>
      <name val="Courier New"/>
      <family val="3"/>
      <charset val="238"/>
    </font>
    <font>
      <b/>
      <i/>
      <sz val="12"/>
      <color theme="1"/>
      <name val="Times New Roman"/>
      <family val="1"/>
      <charset val="238"/>
    </font>
    <font>
      <i/>
      <sz val="12"/>
      <color theme="1"/>
      <name val="Times New Roman"/>
      <family val="1"/>
      <charset val="238"/>
    </font>
    <font>
      <sz val="10"/>
      <color indexed="81"/>
      <name val="Tahoma"/>
      <family val="2"/>
      <charset val="238"/>
    </font>
    <font>
      <sz val="12"/>
      <color rgb="FF000000"/>
      <name val="Times New Roman"/>
      <family val="1"/>
      <charset val="238"/>
    </font>
    <font>
      <sz val="16"/>
      <color theme="1"/>
      <name val="Calibri"/>
      <family val="2"/>
      <charset val="238"/>
      <scheme val="minor"/>
    </font>
    <font>
      <sz val="16"/>
      <color indexed="8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b/>
      <sz val="12"/>
      <color rgb="FF000000"/>
      <name val="Times New Roman"/>
      <family val="1"/>
      <charset val="238"/>
    </font>
    <font>
      <sz val="9"/>
      <color indexed="81"/>
      <name val="Tahoma"/>
      <family val="2"/>
      <charset val="238"/>
    </font>
    <font>
      <b/>
      <sz val="12"/>
      <color theme="1"/>
      <name val="Calibri"/>
      <family val="2"/>
      <charset val="238"/>
      <scheme val="minor"/>
    </font>
    <font>
      <sz val="11"/>
      <color theme="1"/>
      <name val="Courier New"/>
      <family val="3"/>
      <charset val="238"/>
    </font>
    <font>
      <i/>
      <sz val="10"/>
      <color theme="1"/>
      <name val="Courier New"/>
      <family val="3"/>
      <charset val="238"/>
    </font>
    <font>
      <i/>
      <sz val="12"/>
      <color rgb="FF000000"/>
      <name val="Times New Roman"/>
      <family val="1"/>
      <charset val="238"/>
    </font>
    <font>
      <sz val="9"/>
      <color theme="1"/>
      <name val="Courier New"/>
      <family val="3"/>
      <charset val="238"/>
    </font>
    <font>
      <sz val="11"/>
      <color rgb="FF000000"/>
      <name val="Courier New"/>
      <family val="3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Protection="1">
      <protection locked="0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14" fontId="0" fillId="0" borderId="1" xfId="0" applyNumberFormat="1" applyBorder="1" applyAlignment="1" applyProtection="1">
      <alignment horizontal="right" vertical="center"/>
      <protection locked="0"/>
    </xf>
    <xf numFmtId="164" fontId="1" fillId="0" borderId="0" xfId="0" applyNumberFormat="1" applyFont="1" applyAlignment="1">
      <alignment horizontal="right" wrapText="1"/>
    </xf>
    <xf numFmtId="0" fontId="1" fillId="0" borderId="2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164" fontId="8" fillId="0" borderId="3" xfId="0" applyNumberFormat="1" applyFont="1" applyBorder="1" applyAlignment="1">
      <alignment horizontal="right" vertical="center" wrapText="1"/>
    </xf>
    <xf numFmtId="0" fontId="13" fillId="0" borderId="9" xfId="0" applyFont="1" applyBorder="1" applyAlignment="1">
      <alignment horizontal="left" vertical="center"/>
    </xf>
    <xf numFmtId="165" fontId="0" fillId="0" borderId="12" xfId="0" applyNumberFormat="1" applyBorder="1" applyAlignment="1">
      <alignment wrapText="1"/>
    </xf>
    <xf numFmtId="165" fontId="0" fillId="0" borderId="9" xfId="0" applyNumberFormat="1" applyBorder="1" applyAlignment="1">
      <alignment wrapText="1"/>
    </xf>
    <xf numFmtId="165" fontId="0" fillId="0" borderId="10" xfId="0" applyNumberFormat="1" applyBorder="1" applyAlignment="1">
      <alignment wrapText="1"/>
    </xf>
    <xf numFmtId="165" fontId="14" fillId="0" borderId="12" xfId="0" applyNumberFormat="1" applyFont="1" applyBorder="1" applyAlignment="1">
      <alignment wrapText="1"/>
    </xf>
    <xf numFmtId="165" fontId="14" fillId="0" borderId="6" xfId="0" applyNumberFormat="1" applyFont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/>
    <xf numFmtId="0" fontId="17" fillId="0" borderId="7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164" fontId="6" fillId="0" borderId="6" xfId="0" applyNumberFormat="1" applyFont="1" applyBorder="1"/>
    <xf numFmtId="164" fontId="1" fillId="0" borderId="8" xfId="0" applyNumberFormat="1" applyFont="1" applyBorder="1" applyAlignment="1">
      <alignment horizontal="right" wrapText="1"/>
    </xf>
    <xf numFmtId="0" fontId="1" fillId="0" borderId="13" xfId="0" applyFont="1" applyBorder="1" applyAlignment="1">
      <alignment vertical="center" wrapText="1"/>
    </xf>
    <xf numFmtId="164" fontId="1" fillId="0" borderId="13" xfId="0" applyNumberFormat="1" applyFont="1" applyBorder="1" applyAlignment="1">
      <alignment horizontal="right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right" vertical="center" wrapText="1"/>
    </xf>
    <xf numFmtId="0" fontId="8" fillId="0" borderId="2" xfId="0" applyFont="1" applyBorder="1" applyAlignment="1">
      <alignment vertical="center" wrapText="1"/>
    </xf>
    <xf numFmtId="164" fontId="8" fillId="0" borderId="3" xfId="0" applyNumberFormat="1" applyFont="1" applyBorder="1" applyAlignment="1">
      <alignment horizontal="right" wrapText="1"/>
    </xf>
    <xf numFmtId="0" fontId="8" fillId="0" borderId="3" xfId="0" applyFont="1" applyBorder="1" applyAlignment="1">
      <alignment horizontal="right" vertical="center" wrapText="1"/>
    </xf>
    <xf numFmtId="0" fontId="8" fillId="0" borderId="6" xfId="0" applyFont="1" applyBorder="1" applyAlignment="1">
      <alignment vertical="center" wrapText="1"/>
    </xf>
    <xf numFmtId="164" fontId="6" fillId="2" borderId="6" xfId="0" applyNumberFormat="1" applyFont="1" applyFill="1" applyBorder="1"/>
    <xf numFmtId="164" fontId="8" fillId="0" borderId="3" xfId="0" applyNumberFormat="1" applyFont="1" applyBorder="1" applyAlignment="1">
      <alignment horizontal="center" vertical="center" wrapText="1"/>
    </xf>
    <xf numFmtId="0" fontId="12" fillId="0" borderId="6" xfId="0" quotePrefix="1" applyFon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165" fontId="0" fillId="0" borderId="10" xfId="0" applyNumberFormat="1" applyBorder="1" applyAlignment="1">
      <alignment horizontal="right" vertical="center" wrapText="1"/>
    </xf>
    <xf numFmtId="165" fontId="0" fillId="0" borderId="11" xfId="0" applyNumberFormat="1" applyBorder="1" applyAlignment="1">
      <alignment horizontal="right" vertical="center" wrapText="1"/>
    </xf>
  </cellXfs>
  <cellStyles count="1">
    <cellStyle name="Normá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692758" cy="438150"/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026264FA-6346-4F71-984B-6FBD9D7D04D7}"/>
            </a:ext>
          </a:extLst>
        </xdr:cNvPr>
        <xdr:cNvSpPr txBox="1"/>
      </xdr:nvSpPr>
      <xdr:spPr>
        <a:xfrm>
          <a:off x="257175" y="0"/>
          <a:ext cx="2692758" cy="438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36000" bIns="0" rtlCol="0" anchor="ctr" anchorCtr="0">
          <a:noAutofit/>
        </a:bodyPr>
        <a:lstStyle/>
        <a:p>
          <a:pPr algn="l"/>
          <a:r>
            <a:rPr lang="hu-HU" sz="1100"/>
            <a:t>Informatika - emelt</a:t>
          </a:r>
          <a:r>
            <a:rPr lang="hu-HU" sz="1100" baseline="0"/>
            <a:t> </a:t>
          </a:r>
          <a:r>
            <a:rPr lang="hu-HU" sz="1100"/>
            <a:t>szint</a:t>
          </a:r>
        </a:p>
        <a:p>
          <a:pPr algn="l"/>
          <a:r>
            <a:rPr lang="hu-HU" sz="1100"/>
            <a:t>Javítási-értékelési útmutató / értékelőlap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topLeftCell="A3" workbookViewId="0">
      <selection activeCell="A23" sqref="A23"/>
    </sheetView>
  </sheetViews>
  <sheetFormatPr defaultRowHeight="14.4" x14ac:dyDescent="0.3"/>
  <cols>
    <col min="1" max="1" width="84.6640625" customWidth="1"/>
  </cols>
  <sheetData>
    <row r="1" spans="1:1" ht="25.5" customHeight="1" x14ac:dyDescent="0.3">
      <c r="A1" s="2" t="s">
        <v>0</v>
      </c>
    </row>
    <row r="2" spans="1:1" ht="15.6" x14ac:dyDescent="0.3">
      <c r="A2" s="3"/>
    </row>
    <row r="3" spans="1:1" ht="39.9" customHeight="1" x14ac:dyDescent="0.3">
      <c r="A3" s="3" t="s">
        <v>1</v>
      </c>
    </row>
    <row r="4" spans="1:1" ht="39.9" customHeight="1" x14ac:dyDescent="0.3">
      <c r="A4" s="3" t="s">
        <v>10</v>
      </c>
    </row>
    <row r="5" spans="1:1" ht="96" customHeight="1" x14ac:dyDescent="0.3">
      <c r="A5" s="3" t="s">
        <v>11</v>
      </c>
    </row>
    <row r="6" spans="1:1" ht="65.099999999999994" customHeight="1" x14ac:dyDescent="0.3">
      <c r="A6" s="4" t="s">
        <v>2</v>
      </c>
    </row>
    <row r="7" spans="1:1" ht="80.099999999999994" customHeight="1" x14ac:dyDescent="0.3">
      <c r="A7" s="3" t="s">
        <v>3</v>
      </c>
    </row>
    <row r="8" spans="1:1" ht="45" customHeight="1" x14ac:dyDescent="0.3">
      <c r="A8" s="1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26"/>
  <sheetViews>
    <sheetView zoomScale="106" zoomScaleNormal="106" zoomScaleSheetLayoutView="100" workbookViewId="0">
      <selection activeCell="C3" sqref="C3"/>
    </sheetView>
  </sheetViews>
  <sheetFormatPr defaultColWidth="9.33203125" defaultRowHeight="14.4" x14ac:dyDescent="0.3"/>
  <cols>
    <col min="1" max="1" width="3.5546875" customWidth="1"/>
    <col min="2" max="2" width="66.5546875" customWidth="1"/>
    <col min="3" max="3" width="9.6640625" customWidth="1"/>
    <col min="4" max="4" width="10.5546875" customWidth="1"/>
    <col min="5" max="5" width="25.5546875" style="5" customWidth="1"/>
  </cols>
  <sheetData>
    <row r="1" spans="1:4" ht="33.75" customHeight="1" x14ac:dyDescent="0.3">
      <c r="A1" s="19"/>
      <c r="B1" s="20"/>
      <c r="C1" s="21"/>
      <c r="D1" s="8" t="s">
        <v>218</v>
      </c>
    </row>
    <row r="2" spans="1:4" ht="3.75" customHeight="1" thickBot="1" x14ac:dyDescent="0.35"/>
    <row r="3" spans="1:4" ht="21" customHeight="1" thickBot="1" x14ac:dyDescent="0.35">
      <c r="A3" s="19"/>
      <c r="B3" s="22" t="s">
        <v>12</v>
      </c>
      <c r="C3" s="36" t="s">
        <v>221</v>
      </c>
    </row>
    <row r="4" spans="1:4" ht="21.6" thickBot="1" x14ac:dyDescent="0.35">
      <c r="B4" s="23" t="s">
        <v>215</v>
      </c>
    </row>
    <row r="5" spans="1:4" ht="16.2" thickBot="1" x14ac:dyDescent="0.35">
      <c r="B5" s="6" t="s">
        <v>15</v>
      </c>
      <c r="C5" s="7"/>
    </row>
    <row r="6" spans="1:4" ht="31.8" thickBot="1" x14ac:dyDescent="0.35">
      <c r="A6" s="5">
        <v>0</v>
      </c>
      <c r="B6" s="1" t="s">
        <v>16</v>
      </c>
      <c r="C6" s="9">
        <v>1</v>
      </c>
      <c r="D6" s="24">
        <f>C6*A6</f>
        <v>0</v>
      </c>
    </row>
    <row r="7" spans="1:4" ht="31.8" thickBot="1" x14ac:dyDescent="0.35">
      <c r="A7" s="5">
        <v>0</v>
      </c>
      <c r="B7" s="1" t="s">
        <v>17</v>
      </c>
      <c r="C7" s="9">
        <v>1</v>
      </c>
      <c r="D7" s="24">
        <f>C7*A7</f>
        <v>0</v>
      </c>
    </row>
    <row r="8" spans="1:4" ht="16.2" thickBot="1" x14ac:dyDescent="0.35">
      <c r="B8" s="6" t="s">
        <v>18</v>
      </c>
      <c r="C8" s="7"/>
    </row>
    <row r="9" spans="1:4" ht="16.8" thickBot="1" x14ac:dyDescent="0.35">
      <c r="A9" s="5">
        <v>0</v>
      </c>
      <c r="B9" s="1" t="s">
        <v>19</v>
      </c>
      <c r="C9" s="25">
        <v>1</v>
      </c>
      <c r="D9" s="24">
        <f t="shared" ref="D9:D14" si="0">C9*A9</f>
        <v>0</v>
      </c>
    </row>
    <row r="10" spans="1:4" ht="16.2" thickBot="1" x14ac:dyDescent="0.35">
      <c r="A10" s="5">
        <v>0</v>
      </c>
      <c r="B10" s="1" t="s">
        <v>20</v>
      </c>
      <c r="C10" s="9">
        <v>1</v>
      </c>
      <c r="D10" s="24">
        <f t="shared" si="0"/>
        <v>0</v>
      </c>
    </row>
    <row r="11" spans="1:4" ht="16.2" thickBot="1" x14ac:dyDescent="0.35">
      <c r="A11" s="5">
        <v>0</v>
      </c>
      <c r="B11" s="1" t="s">
        <v>21</v>
      </c>
      <c r="C11" s="9">
        <v>1</v>
      </c>
      <c r="D11" s="24">
        <f t="shared" si="0"/>
        <v>0</v>
      </c>
    </row>
    <row r="12" spans="1:4" ht="16.2" thickBot="1" x14ac:dyDescent="0.35">
      <c r="A12" s="5">
        <v>0</v>
      </c>
      <c r="B12" s="1" t="s">
        <v>22</v>
      </c>
      <c r="C12" s="9">
        <v>1</v>
      </c>
      <c r="D12" s="24">
        <f t="shared" si="0"/>
        <v>0</v>
      </c>
    </row>
    <row r="13" spans="1:4" ht="16.2" thickBot="1" x14ac:dyDescent="0.35">
      <c r="A13" s="5">
        <v>0</v>
      </c>
      <c r="B13" s="1" t="s">
        <v>23</v>
      </c>
      <c r="C13" s="9">
        <v>1</v>
      </c>
      <c r="D13" s="24">
        <f t="shared" si="0"/>
        <v>0</v>
      </c>
    </row>
    <row r="14" spans="1:4" ht="16.2" thickBot="1" x14ac:dyDescent="0.35">
      <c r="A14" s="5">
        <v>0</v>
      </c>
      <c r="B14" s="1" t="s">
        <v>24</v>
      </c>
      <c r="C14" s="9">
        <v>1</v>
      </c>
      <c r="D14" s="24">
        <f t="shared" si="0"/>
        <v>0</v>
      </c>
    </row>
    <row r="15" spans="1:4" ht="16.2" thickBot="1" x14ac:dyDescent="0.35">
      <c r="B15" s="6" t="s">
        <v>25</v>
      </c>
      <c r="C15" s="7"/>
    </row>
    <row r="16" spans="1:4" ht="16.2" thickBot="1" x14ac:dyDescent="0.35">
      <c r="A16" s="5">
        <v>0</v>
      </c>
      <c r="B16" s="1" t="s">
        <v>217</v>
      </c>
      <c r="C16" s="9">
        <v>1</v>
      </c>
      <c r="D16" s="24">
        <f>C16*A16</f>
        <v>0</v>
      </c>
    </row>
    <row r="17" spans="1:4" ht="16.2" thickBot="1" x14ac:dyDescent="0.35">
      <c r="A17" s="5">
        <v>0</v>
      </c>
      <c r="B17" s="1" t="s">
        <v>26</v>
      </c>
      <c r="C17" s="9">
        <v>1</v>
      </c>
      <c r="D17" s="24">
        <f>C17*A17</f>
        <v>0</v>
      </c>
    </row>
    <row r="18" spans="1:4" ht="16.2" thickBot="1" x14ac:dyDescent="0.35">
      <c r="A18" s="5">
        <v>0</v>
      </c>
      <c r="B18" s="11" t="s">
        <v>27</v>
      </c>
      <c r="C18" s="9">
        <v>1</v>
      </c>
      <c r="D18" s="24">
        <f>C18*A18</f>
        <v>0</v>
      </c>
    </row>
    <row r="19" spans="1:4" ht="31.8" thickBot="1" x14ac:dyDescent="0.35">
      <c r="A19" s="5">
        <v>0</v>
      </c>
      <c r="B19" s="1" t="s">
        <v>28</v>
      </c>
      <c r="C19" s="9">
        <v>1</v>
      </c>
      <c r="D19" s="24">
        <f>C19*A19</f>
        <v>0</v>
      </c>
    </row>
    <row r="20" spans="1:4" ht="31.8" thickBot="1" x14ac:dyDescent="0.35">
      <c r="A20" s="5">
        <v>0</v>
      </c>
      <c r="B20" s="1" t="s">
        <v>219</v>
      </c>
      <c r="C20" s="9">
        <v>1</v>
      </c>
      <c r="D20" s="24">
        <f>C20*A20</f>
        <v>0</v>
      </c>
    </row>
    <row r="21" spans="1:4" ht="16.2" thickBot="1" x14ac:dyDescent="0.35">
      <c r="B21" s="6" t="s">
        <v>29</v>
      </c>
      <c r="C21" s="7"/>
    </row>
    <row r="22" spans="1:4" ht="31.8" thickBot="1" x14ac:dyDescent="0.35">
      <c r="A22" s="5">
        <v>0</v>
      </c>
      <c r="B22" s="1" t="s">
        <v>30</v>
      </c>
      <c r="C22" s="9">
        <v>2</v>
      </c>
      <c r="D22" s="24">
        <f t="shared" ref="D22:D29" si="1">C22*A22</f>
        <v>0</v>
      </c>
    </row>
    <row r="23" spans="1:4" ht="16.2" thickBot="1" x14ac:dyDescent="0.35">
      <c r="A23" s="5">
        <v>0</v>
      </c>
      <c r="B23" s="1" t="s">
        <v>31</v>
      </c>
      <c r="C23" s="9">
        <v>1</v>
      </c>
      <c r="D23" s="24">
        <f t="shared" si="1"/>
        <v>0</v>
      </c>
    </row>
    <row r="24" spans="1:4" ht="16.2" thickBot="1" x14ac:dyDescent="0.35">
      <c r="A24" s="5">
        <v>0</v>
      </c>
      <c r="B24" s="1" t="s">
        <v>32</v>
      </c>
      <c r="C24" s="9">
        <v>1</v>
      </c>
      <c r="D24" s="24">
        <f t="shared" si="1"/>
        <v>0</v>
      </c>
    </row>
    <row r="25" spans="1:4" ht="31.8" thickBot="1" x14ac:dyDescent="0.35">
      <c r="A25" s="5">
        <v>0</v>
      </c>
      <c r="B25" s="1" t="s">
        <v>33</v>
      </c>
      <c r="C25" s="9">
        <v>1</v>
      </c>
      <c r="D25" s="24">
        <f t="shared" si="1"/>
        <v>0</v>
      </c>
    </row>
    <row r="26" spans="1:4" ht="31.8" thickBot="1" x14ac:dyDescent="0.35">
      <c r="A26" s="5">
        <v>0</v>
      </c>
      <c r="B26" s="1" t="s">
        <v>34</v>
      </c>
      <c r="C26" s="9">
        <v>2</v>
      </c>
      <c r="D26" s="24">
        <f t="shared" si="1"/>
        <v>0</v>
      </c>
    </row>
    <row r="27" spans="1:4" ht="31.8" thickBot="1" x14ac:dyDescent="0.35">
      <c r="A27" s="5">
        <v>0</v>
      </c>
      <c r="B27" s="1" t="s">
        <v>35</v>
      </c>
      <c r="C27" s="9">
        <v>1</v>
      </c>
      <c r="D27" s="24">
        <f t="shared" si="1"/>
        <v>0</v>
      </c>
    </row>
    <row r="28" spans="1:4" ht="31.8" thickBot="1" x14ac:dyDescent="0.35">
      <c r="A28" s="5">
        <v>0</v>
      </c>
      <c r="B28" s="1" t="s">
        <v>36</v>
      </c>
      <c r="C28" s="9">
        <v>1</v>
      </c>
      <c r="D28" s="24">
        <f t="shared" si="1"/>
        <v>0</v>
      </c>
    </row>
    <row r="29" spans="1:4" ht="16.2" thickBot="1" x14ac:dyDescent="0.35">
      <c r="A29" s="5">
        <v>0</v>
      </c>
      <c r="B29" s="1" t="s">
        <v>37</v>
      </c>
      <c r="C29" s="9">
        <v>1</v>
      </c>
      <c r="D29" s="24">
        <f t="shared" si="1"/>
        <v>0</v>
      </c>
    </row>
    <row r="30" spans="1:4" ht="16.2" thickBot="1" x14ac:dyDescent="0.35">
      <c r="B30" s="6" t="s">
        <v>38</v>
      </c>
      <c r="C30" s="7"/>
    </row>
    <row r="31" spans="1:4" ht="16.2" thickBot="1" x14ac:dyDescent="0.35">
      <c r="A31" s="5">
        <v>0</v>
      </c>
      <c r="B31" s="1" t="s">
        <v>39</v>
      </c>
      <c r="C31" s="9">
        <v>1</v>
      </c>
      <c r="D31" s="24">
        <f>C31*A31</f>
        <v>0</v>
      </c>
    </row>
    <row r="32" spans="1:4" ht="31.8" thickBot="1" x14ac:dyDescent="0.35">
      <c r="A32" s="5">
        <v>0</v>
      </c>
      <c r="B32" s="1" t="s">
        <v>40</v>
      </c>
      <c r="C32" s="9">
        <v>1</v>
      </c>
      <c r="D32" s="24">
        <f>C32*A32</f>
        <v>0</v>
      </c>
    </row>
    <row r="33" spans="1:4" ht="16.2" thickBot="1" x14ac:dyDescent="0.35">
      <c r="A33" s="5">
        <v>0</v>
      </c>
      <c r="B33" s="1" t="s">
        <v>41</v>
      </c>
      <c r="C33" s="9">
        <v>2</v>
      </c>
      <c r="D33" s="24">
        <f>C33*A33</f>
        <v>0</v>
      </c>
    </row>
    <row r="34" spans="1:4" ht="31.8" thickBot="1" x14ac:dyDescent="0.35">
      <c r="A34" s="5">
        <v>0</v>
      </c>
      <c r="B34" s="1" t="s">
        <v>42</v>
      </c>
      <c r="C34" s="9">
        <v>1</v>
      </c>
      <c r="D34" s="24">
        <f>C34*A34</f>
        <v>0</v>
      </c>
    </row>
    <row r="35" spans="1:4" ht="16.2" thickBot="1" x14ac:dyDescent="0.35">
      <c r="A35" s="5">
        <v>0</v>
      </c>
      <c r="B35" s="1" t="s">
        <v>43</v>
      </c>
      <c r="C35" s="9">
        <v>1</v>
      </c>
      <c r="D35" s="24">
        <f>C35*A35</f>
        <v>0</v>
      </c>
    </row>
    <row r="36" spans="1:4" ht="16.2" thickBot="1" x14ac:dyDescent="0.35">
      <c r="B36" s="6" t="s">
        <v>44</v>
      </c>
      <c r="C36" s="7"/>
    </row>
    <row r="37" spans="1:4" ht="47.4" thickBot="1" x14ac:dyDescent="0.35">
      <c r="A37" s="5">
        <v>0</v>
      </c>
      <c r="B37" s="1" t="s">
        <v>45</v>
      </c>
      <c r="C37" s="9">
        <v>2</v>
      </c>
      <c r="D37" s="24">
        <f>C37*A37</f>
        <v>0</v>
      </c>
    </row>
    <row r="38" spans="1:4" ht="16.2" thickBot="1" x14ac:dyDescent="0.35">
      <c r="A38" s="5">
        <v>0</v>
      </c>
      <c r="B38" s="1" t="s">
        <v>46</v>
      </c>
      <c r="C38" s="9">
        <v>1</v>
      </c>
      <c r="D38" s="24">
        <f>C38*A38</f>
        <v>0</v>
      </c>
    </row>
    <row r="39" spans="1:4" ht="16.2" thickBot="1" x14ac:dyDescent="0.35">
      <c r="B39" s="6" t="s">
        <v>47</v>
      </c>
      <c r="C39" s="7"/>
    </row>
    <row r="40" spans="1:4" ht="16.2" thickBot="1" x14ac:dyDescent="0.35">
      <c r="A40" s="5">
        <v>0</v>
      </c>
      <c r="B40" s="26" t="s">
        <v>48</v>
      </c>
      <c r="C40" s="27">
        <v>1</v>
      </c>
      <c r="D40" s="24">
        <f>C40*A40</f>
        <v>0</v>
      </c>
    </row>
    <row r="41" spans="1:4" ht="16.2" thickBot="1" x14ac:dyDescent="0.35">
      <c r="B41" s="28" t="s">
        <v>49</v>
      </c>
      <c r="C41" s="29"/>
    </row>
    <row r="42" spans="1:4" ht="31.8" thickBot="1" x14ac:dyDescent="0.35">
      <c r="A42" s="5">
        <v>0</v>
      </c>
      <c r="B42" s="11" t="s">
        <v>50</v>
      </c>
      <c r="C42" s="9">
        <v>1</v>
      </c>
      <c r="D42" s="24">
        <f t="shared" ref="D42:D56" si="2">C42*A42</f>
        <v>0</v>
      </c>
    </row>
    <row r="43" spans="1:4" ht="31.8" thickBot="1" x14ac:dyDescent="0.35">
      <c r="A43" s="5">
        <v>0</v>
      </c>
      <c r="B43" s="11" t="s">
        <v>51</v>
      </c>
      <c r="C43" s="9">
        <v>1</v>
      </c>
      <c r="D43" s="24">
        <f t="shared" si="2"/>
        <v>0</v>
      </c>
    </row>
    <row r="44" spans="1:4" ht="31.8" thickBot="1" x14ac:dyDescent="0.35">
      <c r="A44" s="5">
        <v>0</v>
      </c>
      <c r="B44" s="1" t="s">
        <v>52</v>
      </c>
      <c r="C44" s="9">
        <v>1</v>
      </c>
      <c r="D44" s="24">
        <f t="shared" si="2"/>
        <v>0</v>
      </c>
    </row>
    <row r="45" spans="1:4" ht="31.8" thickBot="1" x14ac:dyDescent="0.35">
      <c r="A45" s="5">
        <v>0</v>
      </c>
      <c r="B45" s="1" t="s">
        <v>53</v>
      </c>
      <c r="C45" s="9">
        <v>1</v>
      </c>
      <c r="D45" s="24">
        <f t="shared" si="2"/>
        <v>0</v>
      </c>
    </row>
    <row r="46" spans="1:4" ht="16.2" thickBot="1" x14ac:dyDescent="0.35">
      <c r="A46" s="5">
        <v>0</v>
      </c>
      <c r="B46" s="1" t="s">
        <v>54</v>
      </c>
      <c r="C46" s="9">
        <v>1</v>
      </c>
      <c r="D46" s="24">
        <f t="shared" si="2"/>
        <v>0</v>
      </c>
    </row>
    <row r="47" spans="1:4" ht="31.8" thickBot="1" x14ac:dyDescent="0.35">
      <c r="A47" s="5">
        <v>0</v>
      </c>
      <c r="B47" s="1" t="s">
        <v>55</v>
      </c>
      <c r="C47" s="9">
        <v>1</v>
      </c>
      <c r="D47" s="24">
        <f t="shared" si="2"/>
        <v>0</v>
      </c>
    </row>
    <row r="48" spans="1:4" ht="31.8" thickBot="1" x14ac:dyDescent="0.35">
      <c r="A48" s="5">
        <v>0</v>
      </c>
      <c r="B48" s="1" t="s">
        <v>56</v>
      </c>
      <c r="C48" s="9">
        <v>1</v>
      </c>
      <c r="D48" s="24">
        <f t="shared" si="2"/>
        <v>0</v>
      </c>
    </row>
    <row r="49" spans="1:4" ht="31.8" thickBot="1" x14ac:dyDescent="0.35">
      <c r="A49" s="5">
        <v>0</v>
      </c>
      <c r="B49" s="1" t="s">
        <v>57</v>
      </c>
      <c r="C49" s="9">
        <v>1</v>
      </c>
      <c r="D49" s="24">
        <f t="shared" si="2"/>
        <v>0</v>
      </c>
    </row>
    <row r="50" spans="1:4" ht="47.4" thickBot="1" x14ac:dyDescent="0.35">
      <c r="A50" s="5">
        <v>0</v>
      </c>
      <c r="B50" s="1" t="s">
        <v>58</v>
      </c>
      <c r="C50" s="9">
        <v>2</v>
      </c>
      <c r="D50" s="24">
        <f t="shared" si="2"/>
        <v>0</v>
      </c>
    </row>
    <row r="51" spans="1:4" ht="16.2" thickBot="1" x14ac:dyDescent="0.35">
      <c r="A51" s="5">
        <v>0</v>
      </c>
      <c r="B51" s="1" t="s">
        <v>59</v>
      </c>
      <c r="C51" s="9">
        <v>1</v>
      </c>
      <c r="D51" s="24">
        <f t="shared" si="2"/>
        <v>0</v>
      </c>
    </row>
    <row r="52" spans="1:4" ht="48" thickBot="1" x14ac:dyDescent="0.35">
      <c r="A52" s="5">
        <v>0</v>
      </c>
      <c r="B52" s="1" t="s">
        <v>60</v>
      </c>
      <c r="C52" s="9">
        <v>1</v>
      </c>
      <c r="D52" s="24">
        <f t="shared" si="2"/>
        <v>0</v>
      </c>
    </row>
    <row r="53" spans="1:4" ht="31.8" thickBot="1" x14ac:dyDescent="0.35">
      <c r="A53" s="5">
        <v>0</v>
      </c>
      <c r="B53" s="1" t="s">
        <v>220</v>
      </c>
      <c r="C53" s="9">
        <v>1</v>
      </c>
      <c r="D53" s="24">
        <f t="shared" si="2"/>
        <v>0</v>
      </c>
    </row>
    <row r="54" spans="1:4" ht="31.8" thickBot="1" x14ac:dyDescent="0.35">
      <c r="A54" s="5">
        <v>0</v>
      </c>
      <c r="B54" s="1" t="s">
        <v>61</v>
      </c>
      <c r="C54" s="9">
        <v>1</v>
      </c>
      <c r="D54" s="24">
        <f t="shared" si="2"/>
        <v>0</v>
      </c>
    </row>
    <row r="55" spans="1:4" ht="32.4" thickBot="1" x14ac:dyDescent="0.35">
      <c r="A55" s="5">
        <v>0</v>
      </c>
      <c r="B55" s="1" t="s">
        <v>62</v>
      </c>
      <c r="C55" s="9">
        <v>1</v>
      </c>
      <c r="D55" s="24">
        <f t="shared" si="2"/>
        <v>0</v>
      </c>
    </row>
    <row r="56" spans="1:4" ht="16.2" thickBot="1" x14ac:dyDescent="0.35">
      <c r="A56" s="5">
        <v>0</v>
      </c>
      <c r="B56" s="1" t="s">
        <v>63</v>
      </c>
      <c r="C56" s="9">
        <v>1</v>
      </c>
      <c r="D56" s="24">
        <f t="shared" si="2"/>
        <v>0</v>
      </c>
    </row>
    <row r="57" spans="1:4" ht="16.2" thickBot="1" x14ac:dyDescent="0.35">
      <c r="B57" s="10" t="s">
        <v>64</v>
      </c>
      <c r="C57" s="7"/>
    </row>
    <row r="58" spans="1:4" ht="31.8" thickBot="1" x14ac:dyDescent="0.35">
      <c r="A58" s="5">
        <v>0</v>
      </c>
      <c r="B58" s="1" t="s">
        <v>65</v>
      </c>
      <c r="C58" s="9">
        <v>1</v>
      </c>
      <c r="D58" s="24">
        <f t="shared" ref="D58:D68" si="3">C58*A58</f>
        <v>0</v>
      </c>
    </row>
    <row r="59" spans="1:4" ht="31.8" thickBot="1" x14ac:dyDescent="0.35">
      <c r="A59" s="5">
        <v>0</v>
      </c>
      <c r="B59" s="1" t="s">
        <v>66</v>
      </c>
      <c r="C59" s="9">
        <v>1</v>
      </c>
      <c r="D59" s="24">
        <f t="shared" si="3"/>
        <v>0</v>
      </c>
    </row>
    <row r="60" spans="1:4" ht="16.2" thickBot="1" x14ac:dyDescent="0.35">
      <c r="A60" s="5">
        <v>0</v>
      </c>
      <c r="B60" s="1" t="s">
        <v>67</v>
      </c>
      <c r="C60" s="9">
        <v>1</v>
      </c>
      <c r="D60" s="24">
        <f t="shared" si="3"/>
        <v>0</v>
      </c>
    </row>
    <row r="61" spans="1:4" ht="16.2" thickBot="1" x14ac:dyDescent="0.35">
      <c r="A61" s="5">
        <v>0</v>
      </c>
      <c r="B61" s="1" t="s">
        <v>68</v>
      </c>
      <c r="C61" s="9">
        <v>1</v>
      </c>
      <c r="D61" s="24">
        <f t="shared" si="3"/>
        <v>0</v>
      </c>
    </row>
    <row r="62" spans="1:4" ht="31.8" thickBot="1" x14ac:dyDescent="0.35">
      <c r="A62" s="5">
        <v>0</v>
      </c>
      <c r="B62" s="1" t="s">
        <v>69</v>
      </c>
      <c r="C62" s="9">
        <v>1</v>
      </c>
      <c r="D62" s="24">
        <f t="shared" si="3"/>
        <v>0</v>
      </c>
    </row>
    <row r="63" spans="1:4" ht="16.2" thickBot="1" x14ac:dyDescent="0.35">
      <c r="A63" s="5">
        <v>0</v>
      </c>
      <c r="B63" s="1" t="s">
        <v>70</v>
      </c>
      <c r="C63" s="9">
        <v>1</v>
      </c>
      <c r="D63" s="24">
        <f t="shared" si="3"/>
        <v>0</v>
      </c>
    </row>
    <row r="64" spans="1:4" ht="16.2" thickBot="1" x14ac:dyDescent="0.35">
      <c r="A64" s="5">
        <v>0</v>
      </c>
      <c r="B64" s="1" t="s">
        <v>71</v>
      </c>
      <c r="C64" s="9">
        <v>1</v>
      </c>
      <c r="D64" s="24">
        <f t="shared" si="3"/>
        <v>0</v>
      </c>
    </row>
    <row r="65" spans="1:4" ht="31.8" thickBot="1" x14ac:dyDescent="0.35">
      <c r="A65" s="5">
        <v>0</v>
      </c>
      <c r="B65" s="1" t="s">
        <v>72</v>
      </c>
      <c r="C65" s="9">
        <v>1</v>
      </c>
      <c r="D65" s="24">
        <f t="shared" si="3"/>
        <v>0</v>
      </c>
    </row>
    <row r="66" spans="1:4" ht="16.2" thickBot="1" x14ac:dyDescent="0.35">
      <c r="A66" s="5">
        <v>0</v>
      </c>
      <c r="B66" s="1" t="s">
        <v>73</v>
      </c>
      <c r="C66" s="9">
        <v>1</v>
      </c>
      <c r="D66" s="24">
        <f t="shared" si="3"/>
        <v>0</v>
      </c>
    </row>
    <row r="67" spans="1:4" ht="31.8" thickBot="1" x14ac:dyDescent="0.35">
      <c r="A67" s="5">
        <v>0</v>
      </c>
      <c r="B67" s="1" t="s">
        <v>74</v>
      </c>
      <c r="C67" s="9">
        <v>1</v>
      </c>
      <c r="D67" s="24">
        <f t="shared" si="3"/>
        <v>0</v>
      </c>
    </row>
    <row r="68" spans="1:4" ht="16.2" thickBot="1" x14ac:dyDescent="0.35">
      <c r="A68" s="5">
        <v>0</v>
      </c>
      <c r="B68" s="1" t="s">
        <v>75</v>
      </c>
      <c r="C68" s="9">
        <v>1</v>
      </c>
      <c r="D68" s="24">
        <f t="shared" si="3"/>
        <v>0</v>
      </c>
    </row>
    <row r="69" spans="1:4" ht="16.8" thickBot="1" x14ac:dyDescent="0.4">
      <c r="B69" s="30" t="s">
        <v>9</v>
      </c>
      <c r="C69" s="31">
        <v>60</v>
      </c>
      <c r="D69" s="24">
        <f>SUM(D6:D68)</f>
        <v>0</v>
      </c>
    </row>
    <row r="70" spans="1:4" ht="32.4" thickBot="1" x14ac:dyDescent="0.35">
      <c r="B70" s="30" t="s">
        <v>76</v>
      </c>
      <c r="C70" s="32" t="s">
        <v>77</v>
      </c>
      <c r="D70" s="24">
        <f>ROUNDDOWN(D69*35/60,0)</f>
        <v>0</v>
      </c>
    </row>
    <row r="72" spans="1:4" ht="21.6" thickBot="1" x14ac:dyDescent="0.35">
      <c r="B72" s="23" t="s">
        <v>216</v>
      </c>
    </row>
    <row r="73" spans="1:4" ht="16.2" thickBot="1" x14ac:dyDescent="0.35">
      <c r="B73" s="6" t="s">
        <v>78</v>
      </c>
      <c r="C73" s="7"/>
    </row>
    <row r="74" spans="1:4" ht="31.8" thickBot="1" x14ac:dyDescent="0.35">
      <c r="A74" s="5">
        <v>0</v>
      </c>
      <c r="B74" s="1" t="s">
        <v>79</v>
      </c>
      <c r="C74" s="9">
        <v>1</v>
      </c>
      <c r="D74" s="24">
        <f>C74*A74</f>
        <v>0</v>
      </c>
    </row>
    <row r="75" spans="1:4" ht="31.8" thickBot="1" x14ac:dyDescent="0.35">
      <c r="A75" s="5">
        <v>0</v>
      </c>
      <c r="B75" s="1" t="s">
        <v>80</v>
      </c>
      <c r="C75" s="9">
        <v>1</v>
      </c>
      <c r="D75" s="24">
        <f>C75*A75</f>
        <v>0</v>
      </c>
    </row>
    <row r="76" spans="1:4" ht="31.8" thickBot="1" x14ac:dyDescent="0.35">
      <c r="A76" s="5">
        <v>0</v>
      </c>
      <c r="B76" s="1" t="s">
        <v>81</v>
      </c>
      <c r="C76" s="9">
        <v>1</v>
      </c>
      <c r="D76" s="24">
        <f>C76*A76</f>
        <v>0</v>
      </c>
    </row>
    <row r="77" spans="1:4" ht="16.2" thickBot="1" x14ac:dyDescent="0.35">
      <c r="B77" s="6" t="s">
        <v>82</v>
      </c>
      <c r="C77" s="7"/>
    </row>
    <row r="78" spans="1:4" ht="31.8" thickBot="1" x14ac:dyDescent="0.35">
      <c r="A78" s="5">
        <v>0</v>
      </c>
      <c r="B78" s="1" t="s">
        <v>83</v>
      </c>
      <c r="C78" s="9">
        <v>1</v>
      </c>
      <c r="D78" s="24">
        <f>C78*A78</f>
        <v>0</v>
      </c>
    </row>
    <row r="79" spans="1:4" ht="48.6" thickBot="1" x14ac:dyDescent="0.35">
      <c r="A79" s="5">
        <v>0</v>
      </c>
      <c r="B79" s="1" t="s">
        <v>84</v>
      </c>
      <c r="C79" s="9">
        <v>1</v>
      </c>
      <c r="D79" s="24">
        <f>C79*A79</f>
        <v>0</v>
      </c>
    </row>
    <row r="80" spans="1:4" ht="16.8" thickBot="1" x14ac:dyDescent="0.35">
      <c r="B80" s="6" t="s">
        <v>85</v>
      </c>
      <c r="C80" s="7"/>
    </row>
    <row r="81" spans="1:4" ht="32.4" thickBot="1" x14ac:dyDescent="0.35">
      <c r="A81" s="5">
        <v>0</v>
      </c>
      <c r="B81" s="1" t="s">
        <v>86</v>
      </c>
      <c r="C81" s="9">
        <v>1</v>
      </c>
      <c r="D81" s="24">
        <f>C81*A81</f>
        <v>0</v>
      </c>
    </row>
    <row r="82" spans="1:4" ht="31.8" thickBot="1" x14ac:dyDescent="0.35">
      <c r="A82" s="5">
        <v>0</v>
      </c>
      <c r="B82" s="1" t="s">
        <v>87</v>
      </c>
      <c r="C82" s="9">
        <v>1</v>
      </c>
      <c r="D82" s="24">
        <f>C82*A82</f>
        <v>0</v>
      </c>
    </row>
    <row r="83" spans="1:4" ht="31.8" thickBot="1" x14ac:dyDescent="0.35">
      <c r="A83" s="5">
        <v>0</v>
      </c>
      <c r="B83" s="1" t="s">
        <v>88</v>
      </c>
      <c r="C83" s="9">
        <v>1</v>
      </c>
      <c r="D83" s="24">
        <f>C83*A83</f>
        <v>0</v>
      </c>
    </row>
    <row r="84" spans="1:4" ht="16.2" thickBot="1" x14ac:dyDescent="0.35">
      <c r="A84" s="37"/>
      <c r="B84" s="6" t="s">
        <v>89</v>
      </c>
      <c r="C84" s="7"/>
    </row>
    <row r="85" spans="1:4" ht="31.8" thickBot="1" x14ac:dyDescent="0.35">
      <c r="A85" s="5">
        <v>0</v>
      </c>
      <c r="B85" s="1" t="s">
        <v>90</v>
      </c>
      <c r="C85" s="9">
        <v>1</v>
      </c>
      <c r="D85" s="24">
        <f t="shared" ref="D85:D92" si="4">C85*A85</f>
        <v>0</v>
      </c>
    </row>
    <row r="86" spans="1:4" ht="31.8" thickBot="1" x14ac:dyDescent="0.35">
      <c r="A86" s="5">
        <v>0</v>
      </c>
      <c r="B86" s="1" t="s">
        <v>91</v>
      </c>
      <c r="C86" s="9">
        <v>1</v>
      </c>
      <c r="D86" s="24">
        <f t="shared" si="4"/>
        <v>0</v>
      </c>
    </row>
    <row r="87" spans="1:4" ht="31.8" thickBot="1" x14ac:dyDescent="0.35">
      <c r="A87" s="5">
        <v>0</v>
      </c>
      <c r="B87" s="1" t="s">
        <v>92</v>
      </c>
      <c r="C87" s="9">
        <v>1</v>
      </c>
      <c r="D87" s="24">
        <f t="shared" si="4"/>
        <v>0</v>
      </c>
    </row>
    <row r="88" spans="1:4" ht="31.8" thickBot="1" x14ac:dyDescent="0.35">
      <c r="A88" s="5">
        <v>0</v>
      </c>
      <c r="B88" s="1" t="s">
        <v>93</v>
      </c>
      <c r="C88" s="9">
        <v>1</v>
      </c>
      <c r="D88" s="24">
        <f t="shared" si="4"/>
        <v>0</v>
      </c>
    </row>
    <row r="89" spans="1:4" ht="31.8" thickBot="1" x14ac:dyDescent="0.35">
      <c r="A89" s="5">
        <v>0</v>
      </c>
      <c r="B89" s="1" t="s">
        <v>94</v>
      </c>
      <c r="C89" s="9">
        <v>1</v>
      </c>
      <c r="D89" s="24">
        <f t="shared" si="4"/>
        <v>0</v>
      </c>
    </row>
    <row r="90" spans="1:4" ht="31.8" thickBot="1" x14ac:dyDescent="0.35">
      <c r="A90" s="5">
        <v>0</v>
      </c>
      <c r="B90" s="1" t="s">
        <v>95</v>
      </c>
      <c r="C90" s="9">
        <v>1</v>
      </c>
      <c r="D90" s="24">
        <f t="shared" si="4"/>
        <v>0</v>
      </c>
    </row>
    <row r="91" spans="1:4" ht="31.8" thickBot="1" x14ac:dyDescent="0.35">
      <c r="A91" s="5">
        <v>0</v>
      </c>
      <c r="B91" s="1" t="s">
        <v>96</v>
      </c>
      <c r="C91" s="9">
        <v>1</v>
      </c>
      <c r="D91" s="24">
        <f t="shared" si="4"/>
        <v>0</v>
      </c>
    </row>
    <row r="92" spans="1:4" ht="31.8" thickBot="1" x14ac:dyDescent="0.35">
      <c r="A92" s="5">
        <v>0</v>
      </c>
      <c r="B92" s="1" t="s">
        <v>97</v>
      </c>
      <c r="C92" s="9">
        <v>1</v>
      </c>
      <c r="D92" s="24">
        <f t="shared" si="4"/>
        <v>0</v>
      </c>
    </row>
    <row r="93" spans="1:4" ht="16.2" thickBot="1" x14ac:dyDescent="0.35">
      <c r="B93" s="6" t="s">
        <v>98</v>
      </c>
      <c r="C93" s="7"/>
    </row>
    <row r="94" spans="1:4" ht="47.4" thickBot="1" x14ac:dyDescent="0.35">
      <c r="A94" s="5">
        <v>0</v>
      </c>
      <c r="B94" s="1" t="s">
        <v>99</v>
      </c>
      <c r="C94" s="9">
        <v>1</v>
      </c>
      <c r="D94" s="24">
        <f>C94*A94</f>
        <v>0</v>
      </c>
    </row>
    <row r="95" spans="1:4" ht="31.8" thickBot="1" x14ac:dyDescent="0.35">
      <c r="A95" s="5">
        <v>0</v>
      </c>
      <c r="B95" s="1" t="s">
        <v>100</v>
      </c>
      <c r="C95" s="9">
        <v>1</v>
      </c>
      <c r="D95" s="24">
        <f>C95*A95</f>
        <v>0</v>
      </c>
    </row>
    <row r="96" spans="1:4" ht="31.8" thickBot="1" x14ac:dyDescent="0.35">
      <c r="A96" s="5">
        <v>0</v>
      </c>
      <c r="B96" s="1" t="s">
        <v>101</v>
      </c>
      <c r="C96" s="9">
        <v>1</v>
      </c>
      <c r="D96" s="24">
        <f>C96*A96</f>
        <v>0</v>
      </c>
    </row>
    <row r="97" spans="1:4" ht="31.8" thickBot="1" x14ac:dyDescent="0.35">
      <c r="A97" s="5">
        <v>0</v>
      </c>
      <c r="B97" s="1" t="s">
        <v>102</v>
      </c>
      <c r="C97" s="9">
        <v>1</v>
      </c>
      <c r="D97" s="24">
        <f>C97*A97</f>
        <v>0</v>
      </c>
    </row>
    <row r="98" spans="1:4" ht="16.8" thickBot="1" x14ac:dyDescent="0.35">
      <c r="B98" s="6" t="s">
        <v>103</v>
      </c>
      <c r="C98" s="7"/>
    </row>
    <row r="99" spans="1:4" ht="31.8" thickBot="1" x14ac:dyDescent="0.35">
      <c r="A99" s="5">
        <v>0</v>
      </c>
      <c r="B99" s="1" t="s">
        <v>104</v>
      </c>
      <c r="C99" s="9">
        <v>1</v>
      </c>
      <c r="D99" s="24">
        <f t="shared" ref="D99:D106" si="5">C99*A99</f>
        <v>0</v>
      </c>
    </row>
    <row r="100" spans="1:4" ht="16.2" thickBot="1" x14ac:dyDescent="0.35">
      <c r="A100" s="5">
        <v>0</v>
      </c>
      <c r="B100" s="1" t="s">
        <v>105</v>
      </c>
      <c r="C100" s="9">
        <v>1</v>
      </c>
      <c r="D100" s="24">
        <f t="shared" si="5"/>
        <v>0</v>
      </c>
    </row>
    <row r="101" spans="1:4" ht="31.8" thickBot="1" x14ac:dyDescent="0.35">
      <c r="A101" s="5">
        <v>0</v>
      </c>
      <c r="B101" s="1" t="s">
        <v>106</v>
      </c>
      <c r="C101" s="9">
        <v>1</v>
      </c>
      <c r="D101" s="24">
        <f t="shared" si="5"/>
        <v>0</v>
      </c>
    </row>
    <row r="102" spans="1:4" ht="16.2" thickBot="1" x14ac:dyDescent="0.35">
      <c r="A102" s="5">
        <v>0</v>
      </c>
      <c r="B102" s="1" t="s">
        <v>107</v>
      </c>
      <c r="C102" s="9">
        <v>1</v>
      </c>
      <c r="D102" s="24">
        <f t="shared" si="5"/>
        <v>0</v>
      </c>
    </row>
    <row r="103" spans="1:4" ht="48" thickBot="1" x14ac:dyDescent="0.35">
      <c r="A103" s="5">
        <v>0</v>
      </c>
      <c r="B103" s="1" t="s">
        <v>108</v>
      </c>
      <c r="C103" s="9">
        <v>1</v>
      </c>
      <c r="D103" s="24">
        <f t="shared" si="5"/>
        <v>0</v>
      </c>
    </row>
    <row r="104" spans="1:4" ht="16.2" thickBot="1" x14ac:dyDescent="0.35">
      <c r="A104" s="5">
        <v>0</v>
      </c>
      <c r="B104" s="1" t="s">
        <v>109</v>
      </c>
      <c r="C104" s="9">
        <v>1</v>
      </c>
      <c r="D104" s="24">
        <f t="shared" si="5"/>
        <v>0</v>
      </c>
    </row>
    <row r="105" spans="1:4" ht="16.2" thickBot="1" x14ac:dyDescent="0.35">
      <c r="A105" s="5">
        <v>0</v>
      </c>
      <c r="B105" s="1" t="s">
        <v>110</v>
      </c>
      <c r="C105" s="9">
        <v>1</v>
      </c>
      <c r="D105" s="24">
        <f t="shared" si="5"/>
        <v>0</v>
      </c>
    </row>
    <row r="106" spans="1:4" ht="16.2" thickBot="1" x14ac:dyDescent="0.35">
      <c r="A106" s="5">
        <v>0</v>
      </c>
      <c r="B106" s="1" t="s">
        <v>111</v>
      </c>
      <c r="C106" s="9">
        <v>1</v>
      </c>
      <c r="D106" s="24">
        <f t="shared" si="5"/>
        <v>0</v>
      </c>
    </row>
    <row r="107" spans="1:4" ht="16.2" thickBot="1" x14ac:dyDescent="0.35">
      <c r="B107" s="6" t="s">
        <v>112</v>
      </c>
      <c r="C107" s="7"/>
    </row>
    <row r="108" spans="1:4" ht="31.8" thickBot="1" x14ac:dyDescent="0.35">
      <c r="A108" s="5">
        <v>0</v>
      </c>
      <c r="B108" s="1" t="s">
        <v>113</v>
      </c>
      <c r="C108" s="9">
        <v>1</v>
      </c>
      <c r="D108" s="24">
        <f t="shared" ref="D108:D114" si="6">C108*A108</f>
        <v>0</v>
      </c>
    </row>
    <row r="109" spans="1:4" ht="31.8" thickBot="1" x14ac:dyDescent="0.35">
      <c r="A109" s="5">
        <v>0</v>
      </c>
      <c r="B109" s="1" t="s">
        <v>114</v>
      </c>
      <c r="C109" s="9">
        <v>1</v>
      </c>
      <c r="D109" s="24">
        <f t="shared" si="6"/>
        <v>0</v>
      </c>
    </row>
    <row r="110" spans="1:4" ht="31.8" thickBot="1" x14ac:dyDescent="0.35">
      <c r="A110" s="5">
        <v>0</v>
      </c>
      <c r="B110" s="1" t="s">
        <v>115</v>
      </c>
      <c r="C110" s="9">
        <v>1</v>
      </c>
      <c r="D110" s="24">
        <f t="shared" si="6"/>
        <v>0</v>
      </c>
    </row>
    <row r="111" spans="1:4" ht="31.8" thickBot="1" x14ac:dyDescent="0.35">
      <c r="A111" s="5">
        <v>0</v>
      </c>
      <c r="B111" s="1" t="s">
        <v>116</v>
      </c>
      <c r="C111" s="9">
        <v>1</v>
      </c>
      <c r="D111" s="24">
        <f t="shared" si="6"/>
        <v>0</v>
      </c>
    </row>
    <row r="112" spans="1:4" ht="16.2" thickBot="1" x14ac:dyDescent="0.35">
      <c r="A112" s="5">
        <v>0</v>
      </c>
      <c r="B112" s="1" t="s">
        <v>117</v>
      </c>
      <c r="C112" s="9">
        <v>1</v>
      </c>
      <c r="D112" s="24">
        <f t="shared" si="6"/>
        <v>0</v>
      </c>
    </row>
    <row r="113" spans="1:4" ht="31.8" thickBot="1" x14ac:dyDescent="0.35">
      <c r="A113" s="5">
        <v>0</v>
      </c>
      <c r="B113" s="1" t="s">
        <v>118</v>
      </c>
      <c r="C113" s="9">
        <v>1</v>
      </c>
      <c r="D113" s="24">
        <f t="shared" si="6"/>
        <v>0</v>
      </c>
    </row>
    <row r="114" spans="1:4" ht="16.2" thickBot="1" x14ac:dyDescent="0.35">
      <c r="A114" s="5">
        <v>0</v>
      </c>
      <c r="B114" s="1" t="s">
        <v>119</v>
      </c>
      <c r="C114" s="9">
        <v>1</v>
      </c>
      <c r="D114" s="24">
        <f t="shared" si="6"/>
        <v>0</v>
      </c>
    </row>
    <row r="115" spans="1:4" ht="16.8" thickBot="1" x14ac:dyDescent="0.35">
      <c r="B115" s="33" t="s">
        <v>5</v>
      </c>
      <c r="C115" s="35">
        <v>35</v>
      </c>
      <c r="D115" s="34">
        <f>SUM(D74:D114)</f>
        <v>0</v>
      </c>
    </row>
    <row r="117" spans="1:4" ht="21.6" thickBot="1" x14ac:dyDescent="0.35">
      <c r="B117" s="23" t="s">
        <v>120</v>
      </c>
    </row>
    <row r="118" spans="1:4" ht="16.2" thickBot="1" x14ac:dyDescent="0.35">
      <c r="B118" s="6" t="s">
        <v>13</v>
      </c>
      <c r="C118" s="7"/>
    </row>
    <row r="119" spans="1:4" ht="31.8" thickBot="1" x14ac:dyDescent="0.35">
      <c r="A119" s="5">
        <v>0</v>
      </c>
      <c r="B119" s="1" t="s">
        <v>6</v>
      </c>
      <c r="C119" s="9">
        <v>1</v>
      </c>
      <c r="D119" s="24">
        <f>C119*A119</f>
        <v>0</v>
      </c>
    </row>
    <row r="120" spans="1:4" ht="16.2" thickBot="1" x14ac:dyDescent="0.35">
      <c r="B120" s="28" t="s">
        <v>7</v>
      </c>
      <c r="C120" s="29"/>
    </row>
    <row r="121" spans="1:4" ht="31.8" thickBot="1" x14ac:dyDescent="0.35">
      <c r="A121" s="5">
        <v>0</v>
      </c>
      <c r="B121" s="1" t="s">
        <v>121</v>
      </c>
      <c r="C121" s="9">
        <v>1</v>
      </c>
      <c r="D121" s="24">
        <f>C121*A121</f>
        <v>0</v>
      </c>
    </row>
    <row r="122" spans="1:4" ht="16.8" thickBot="1" x14ac:dyDescent="0.35">
      <c r="B122" s="30" t="s">
        <v>122</v>
      </c>
      <c r="C122" s="7"/>
    </row>
    <row r="123" spans="1:4" ht="16.2" thickBot="1" x14ac:dyDescent="0.35">
      <c r="A123" s="5">
        <v>0</v>
      </c>
      <c r="B123" s="1" t="s">
        <v>123</v>
      </c>
      <c r="C123" s="9">
        <v>1</v>
      </c>
      <c r="D123" s="24">
        <f>C123*A123</f>
        <v>0</v>
      </c>
    </row>
    <row r="124" spans="1:4" ht="16.2" thickBot="1" x14ac:dyDescent="0.35">
      <c r="A124" s="5">
        <v>0</v>
      </c>
      <c r="B124" s="1" t="s">
        <v>124</v>
      </c>
      <c r="C124" s="9">
        <v>1</v>
      </c>
      <c r="D124" s="24">
        <f>C124*A124</f>
        <v>0</v>
      </c>
    </row>
    <row r="125" spans="1:4" ht="16.8" thickBot="1" x14ac:dyDescent="0.35">
      <c r="A125" s="5">
        <v>0</v>
      </c>
      <c r="B125" s="1" t="s">
        <v>125</v>
      </c>
      <c r="C125" s="9">
        <v>1</v>
      </c>
      <c r="D125" s="24">
        <f>C125*A125</f>
        <v>0</v>
      </c>
    </row>
    <row r="126" spans="1:4" ht="16.8" thickBot="1" x14ac:dyDescent="0.35">
      <c r="B126" s="30" t="s">
        <v>126</v>
      </c>
      <c r="C126" s="7"/>
    </row>
    <row r="127" spans="1:4" ht="16.2" thickBot="1" x14ac:dyDescent="0.35">
      <c r="A127" s="5">
        <v>0</v>
      </c>
      <c r="B127" s="1" t="s">
        <v>127</v>
      </c>
      <c r="C127" s="9">
        <v>1</v>
      </c>
      <c r="D127" s="24">
        <f>C127*A127</f>
        <v>0</v>
      </c>
    </row>
    <row r="128" spans="1:4" ht="16.2" thickBot="1" x14ac:dyDescent="0.35">
      <c r="A128" s="5">
        <v>0</v>
      </c>
      <c r="B128" s="1" t="s">
        <v>128</v>
      </c>
      <c r="C128" s="9">
        <v>1</v>
      </c>
      <c r="D128" s="24">
        <f>C128*A128</f>
        <v>0</v>
      </c>
    </row>
    <row r="129" spans="1:4" ht="16.2" thickBot="1" x14ac:dyDescent="0.35">
      <c r="A129" s="5">
        <v>0</v>
      </c>
      <c r="B129" s="1" t="s">
        <v>129</v>
      </c>
      <c r="C129" s="9">
        <v>1</v>
      </c>
      <c r="D129" s="24">
        <f>C129*A129</f>
        <v>0</v>
      </c>
    </row>
    <row r="130" spans="1:4" ht="16.8" thickBot="1" x14ac:dyDescent="0.35">
      <c r="B130" s="30" t="s">
        <v>130</v>
      </c>
      <c r="C130" s="7"/>
    </row>
    <row r="131" spans="1:4" ht="16.2" thickBot="1" x14ac:dyDescent="0.35">
      <c r="A131" s="5">
        <v>0</v>
      </c>
      <c r="B131" s="1" t="s">
        <v>131</v>
      </c>
      <c r="C131" s="9">
        <v>1</v>
      </c>
      <c r="D131" s="24">
        <f>C131*A131</f>
        <v>0</v>
      </c>
    </row>
    <row r="132" spans="1:4" ht="16.2" thickBot="1" x14ac:dyDescent="0.35">
      <c r="A132" s="5">
        <v>0</v>
      </c>
      <c r="B132" s="1" t="s">
        <v>132</v>
      </c>
      <c r="C132" s="9">
        <v>1</v>
      </c>
      <c r="D132" s="24">
        <f>C132*A132</f>
        <v>0</v>
      </c>
    </row>
    <row r="133" spans="1:4" ht="16.2" thickBot="1" x14ac:dyDescent="0.35">
      <c r="A133" s="5">
        <v>0</v>
      </c>
      <c r="B133" s="1" t="s">
        <v>133</v>
      </c>
      <c r="C133" s="9">
        <v>1</v>
      </c>
      <c r="D133" s="24">
        <f>C133*A133</f>
        <v>0</v>
      </c>
    </row>
    <row r="134" spans="1:4" ht="16.8" thickBot="1" x14ac:dyDescent="0.35">
      <c r="B134" s="30" t="s">
        <v>134</v>
      </c>
      <c r="C134" s="7"/>
    </row>
    <row r="135" spans="1:4" ht="16.2" thickBot="1" x14ac:dyDescent="0.35">
      <c r="A135" s="5">
        <v>0</v>
      </c>
      <c r="B135" s="1" t="s">
        <v>135</v>
      </c>
      <c r="C135" s="9">
        <v>1</v>
      </c>
      <c r="D135" s="24">
        <f>C135*A135</f>
        <v>0</v>
      </c>
    </row>
    <row r="136" spans="1:4" ht="16.2" thickBot="1" x14ac:dyDescent="0.35">
      <c r="A136" s="5">
        <v>0</v>
      </c>
      <c r="B136" s="1" t="s">
        <v>128</v>
      </c>
      <c r="C136" s="9">
        <v>1</v>
      </c>
      <c r="D136" s="24">
        <f>C136*A136</f>
        <v>0</v>
      </c>
    </row>
    <row r="137" spans="1:4" ht="16.2" thickBot="1" x14ac:dyDescent="0.35">
      <c r="A137" s="5">
        <v>0</v>
      </c>
      <c r="B137" s="1" t="s">
        <v>136</v>
      </c>
      <c r="C137" s="9">
        <v>1</v>
      </c>
      <c r="D137" s="24">
        <f>C137*A137</f>
        <v>0</v>
      </c>
    </row>
    <row r="138" spans="1:4" ht="16.2" thickBot="1" x14ac:dyDescent="0.35">
      <c r="A138" s="5">
        <v>0</v>
      </c>
      <c r="B138" s="1" t="s">
        <v>137</v>
      </c>
      <c r="C138" s="9">
        <v>1</v>
      </c>
      <c r="D138" s="24">
        <f>C138*A138</f>
        <v>0</v>
      </c>
    </row>
    <row r="139" spans="1:4" ht="16.2" thickBot="1" x14ac:dyDescent="0.35">
      <c r="A139" s="5">
        <v>0</v>
      </c>
      <c r="B139" s="1" t="s">
        <v>138</v>
      </c>
      <c r="C139" s="9">
        <v>1</v>
      </c>
      <c r="D139" s="24">
        <f>C139*A139</f>
        <v>0</v>
      </c>
    </row>
    <row r="140" spans="1:4" ht="16.8" thickBot="1" x14ac:dyDescent="0.35">
      <c r="B140" s="30" t="s">
        <v>139</v>
      </c>
      <c r="C140" s="7"/>
    </row>
    <row r="141" spans="1:4" ht="16.2" thickBot="1" x14ac:dyDescent="0.35">
      <c r="A141" s="5">
        <v>0</v>
      </c>
      <c r="B141" s="1" t="s">
        <v>140</v>
      </c>
      <c r="C141" s="9">
        <v>1</v>
      </c>
      <c r="D141" s="24">
        <f>C141*A141</f>
        <v>0</v>
      </c>
    </row>
    <row r="142" spans="1:4" ht="16.2" thickBot="1" x14ac:dyDescent="0.35">
      <c r="A142" s="5">
        <v>0</v>
      </c>
      <c r="B142" s="1" t="s">
        <v>141</v>
      </c>
      <c r="C142" s="9">
        <v>1</v>
      </c>
      <c r="D142" s="24">
        <f>C142*A142</f>
        <v>0</v>
      </c>
    </row>
    <row r="143" spans="1:4" ht="16.2" thickBot="1" x14ac:dyDescent="0.35">
      <c r="A143" s="5">
        <v>0</v>
      </c>
      <c r="B143" s="1" t="s">
        <v>142</v>
      </c>
      <c r="C143" s="9">
        <v>1</v>
      </c>
      <c r="D143" s="24">
        <f>C143*A143</f>
        <v>0</v>
      </c>
    </row>
    <row r="144" spans="1:4" ht="31.8" thickBot="1" x14ac:dyDescent="0.35">
      <c r="A144" s="5">
        <v>0</v>
      </c>
      <c r="B144" s="1" t="s">
        <v>143</v>
      </c>
      <c r="C144" s="9">
        <v>1</v>
      </c>
      <c r="D144" s="24">
        <f>C144*A144</f>
        <v>0</v>
      </c>
    </row>
    <row r="145" spans="1:4" ht="16.8" thickBot="1" x14ac:dyDescent="0.35">
      <c r="B145" s="30" t="s">
        <v>144</v>
      </c>
      <c r="C145" s="7"/>
    </row>
    <row r="146" spans="1:4" ht="31.8" thickBot="1" x14ac:dyDescent="0.35">
      <c r="A146" s="5">
        <v>0</v>
      </c>
      <c r="B146" s="1" t="s">
        <v>145</v>
      </c>
      <c r="C146" s="9">
        <v>1</v>
      </c>
      <c r="D146" s="24">
        <f>C146*A146</f>
        <v>0</v>
      </c>
    </row>
    <row r="147" spans="1:4" ht="16.2" thickBot="1" x14ac:dyDescent="0.35">
      <c r="A147" s="5">
        <v>0</v>
      </c>
      <c r="B147" s="1" t="s">
        <v>146</v>
      </c>
      <c r="C147" s="9">
        <v>1</v>
      </c>
      <c r="D147" s="24">
        <f>C147*A147</f>
        <v>0</v>
      </c>
    </row>
    <row r="148" spans="1:4" ht="16.2" thickBot="1" x14ac:dyDescent="0.35">
      <c r="A148" s="5">
        <v>0</v>
      </c>
      <c r="B148" s="1" t="s">
        <v>147</v>
      </c>
      <c r="C148" s="9">
        <v>1</v>
      </c>
      <c r="D148" s="24">
        <f>C148*A148</f>
        <v>0</v>
      </c>
    </row>
    <row r="149" spans="1:4" ht="16.2" thickBot="1" x14ac:dyDescent="0.35">
      <c r="A149" s="5">
        <v>0</v>
      </c>
      <c r="B149" s="1" t="s">
        <v>148</v>
      </c>
      <c r="C149" s="9">
        <v>1</v>
      </c>
      <c r="D149" s="24">
        <f>C149*A149</f>
        <v>0</v>
      </c>
    </row>
    <row r="150" spans="1:4" ht="16.2" thickBot="1" x14ac:dyDescent="0.35">
      <c r="A150" s="5">
        <v>0</v>
      </c>
      <c r="B150" s="1" t="s">
        <v>149</v>
      </c>
      <c r="C150" s="9">
        <v>1</v>
      </c>
      <c r="D150" s="24">
        <f>C150*A150</f>
        <v>0</v>
      </c>
    </row>
    <row r="151" spans="1:4" ht="16.8" thickBot="1" x14ac:dyDescent="0.35">
      <c r="B151" s="30" t="s">
        <v>150</v>
      </c>
      <c r="C151" s="7"/>
    </row>
    <row r="152" spans="1:4" ht="31.8" thickBot="1" x14ac:dyDescent="0.35">
      <c r="A152" s="5">
        <v>0</v>
      </c>
      <c r="B152" s="1" t="s">
        <v>151</v>
      </c>
      <c r="C152" s="9">
        <v>1</v>
      </c>
      <c r="D152" s="24">
        <f>C152*A152</f>
        <v>0</v>
      </c>
    </row>
    <row r="153" spans="1:4" ht="31.8" thickBot="1" x14ac:dyDescent="0.35">
      <c r="A153" s="5">
        <v>0</v>
      </c>
      <c r="B153" s="1" t="s">
        <v>152</v>
      </c>
      <c r="C153" s="9">
        <v>1</v>
      </c>
      <c r="D153" s="24">
        <f>C153*A153</f>
        <v>0</v>
      </c>
    </row>
    <row r="154" spans="1:4" ht="16.2" thickBot="1" x14ac:dyDescent="0.35">
      <c r="A154" s="5">
        <v>0</v>
      </c>
      <c r="B154" s="1" t="s">
        <v>153</v>
      </c>
      <c r="C154" s="9">
        <v>1</v>
      </c>
      <c r="D154" s="24">
        <f>C154*A154</f>
        <v>0</v>
      </c>
    </row>
    <row r="155" spans="1:4" ht="31.8" thickBot="1" x14ac:dyDescent="0.35">
      <c r="A155" s="5">
        <v>0</v>
      </c>
      <c r="B155" s="1" t="s">
        <v>154</v>
      </c>
      <c r="C155" s="9">
        <v>1</v>
      </c>
      <c r="D155" s="24">
        <f>C155*A155</f>
        <v>0</v>
      </c>
    </row>
    <row r="156" spans="1:4" ht="16.2" thickBot="1" x14ac:dyDescent="0.35">
      <c r="A156" s="5">
        <v>0</v>
      </c>
      <c r="B156" s="1" t="s">
        <v>155</v>
      </c>
      <c r="C156" s="9">
        <v>1</v>
      </c>
      <c r="D156" s="24">
        <f>C156*A156</f>
        <v>0</v>
      </c>
    </row>
    <row r="157" spans="1:4" ht="16.8" thickBot="1" x14ac:dyDescent="0.35">
      <c r="B157" s="30" t="s">
        <v>156</v>
      </c>
      <c r="C157" s="7"/>
    </row>
    <row r="158" spans="1:4" ht="31.8" thickBot="1" x14ac:dyDescent="0.35">
      <c r="A158" s="5">
        <v>0</v>
      </c>
      <c r="B158" s="1" t="s">
        <v>157</v>
      </c>
      <c r="C158" s="9">
        <v>1</v>
      </c>
      <c r="D158" s="24">
        <f>C158*A158</f>
        <v>0</v>
      </c>
    </row>
    <row r="159" spans="1:4" ht="31.8" thickBot="1" x14ac:dyDescent="0.35">
      <c r="A159" s="5">
        <v>0</v>
      </c>
      <c r="B159" s="1" t="s">
        <v>158</v>
      </c>
      <c r="C159" s="9">
        <v>2</v>
      </c>
      <c r="D159" s="24">
        <f>C159*A159</f>
        <v>0</v>
      </c>
    </row>
    <row r="160" spans="1:4" ht="31.8" thickBot="1" x14ac:dyDescent="0.35">
      <c r="A160" s="5">
        <v>0</v>
      </c>
      <c r="B160" s="1" t="s">
        <v>159</v>
      </c>
      <c r="C160" s="9">
        <v>1</v>
      </c>
      <c r="D160" s="24">
        <f>C160*A160</f>
        <v>0</v>
      </c>
    </row>
    <row r="161" spans="1:4" ht="31.8" thickBot="1" x14ac:dyDescent="0.35">
      <c r="A161" s="5">
        <v>0</v>
      </c>
      <c r="B161" s="1" t="s">
        <v>160</v>
      </c>
      <c r="C161" s="9">
        <v>1</v>
      </c>
      <c r="D161" s="24">
        <f>C161*A161</f>
        <v>0</v>
      </c>
    </row>
    <row r="162" spans="1:4" ht="16.8" thickBot="1" x14ac:dyDescent="0.35">
      <c r="B162" s="30" t="s">
        <v>5</v>
      </c>
      <c r="C162" s="12">
        <v>35</v>
      </c>
      <c r="D162" s="34">
        <f>SUM(D119:D161)</f>
        <v>0</v>
      </c>
    </row>
    <row r="164" spans="1:4" ht="21.6" thickBot="1" x14ac:dyDescent="0.35">
      <c r="B164" s="23" t="s">
        <v>161</v>
      </c>
    </row>
    <row r="165" spans="1:4" ht="16.2" thickBot="1" x14ac:dyDescent="0.35">
      <c r="B165" s="10" t="s">
        <v>162</v>
      </c>
      <c r="C165" s="7"/>
    </row>
    <row r="166" spans="1:4" ht="16.2" thickBot="1" x14ac:dyDescent="0.35">
      <c r="A166" s="5">
        <v>0</v>
      </c>
      <c r="B166" s="11" t="s">
        <v>163</v>
      </c>
      <c r="C166" s="9">
        <v>1</v>
      </c>
      <c r="D166" s="24">
        <f>C166*A166</f>
        <v>0</v>
      </c>
    </row>
    <row r="167" spans="1:4" ht="16.2" thickBot="1" x14ac:dyDescent="0.35">
      <c r="B167" s="10" t="s">
        <v>8</v>
      </c>
      <c r="C167" s="7"/>
    </row>
    <row r="168" spans="1:4" ht="47.4" thickBot="1" x14ac:dyDescent="0.35">
      <c r="A168" s="5">
        <v>0</v>
      </c>
      <c r="B168" s="1" t="s">
        <v>164</v>
      </c>
      <c r="C168" s="9">
        <v>1</v>
      </c>
      <c r="D168" s="24">
        <f>C168*A168</f>
        <v>0</v>
      </c>
    </row>
    <row r="169" spans="1:4" ht="31.8" thickBot="1" x14ac:dyDescent="0.35">
      <c r="A169" s="5">
        <v>0</v>
      </c>
      <c r="B169" s="1" t="s">
        <v>165</v>
      </c>
      <c r="C169" s="9">
        <v>1</v>
      </c>
      <c r="D169" s="24">
        <f>C169*A169</f>
        <v>0</v>
      </c>
    </row>
    <row r="170" spans="1:4" ht="16.2" thickBot="1" x14ac:dyDescent="0.35">
      <c r="A170" s="5">
        <v>0</v>
      </c>
      <c r="B170" s="1" t="s">
        <v>166</v>
      </c>
      <c r="C170" s="9">
        <v>1</v>
      </c>
      <c r="D170" s="24">
        <f>C170*A170</f>
        <v>0</v>
      </c>
    </row>
    <row r="171" spans="1:4" ht="16.2" thickBot="1" x14ac:dyDescent="0.35">
      <c r="B171" s="6" t="s">
        <v>14</v>
      </c>
      <c r="C171" s="7"/>
    </row>
    <row r="172" spans="1:4" ht="16.2" thickBot="1" x14ac:dyDescent="0.35">
      <c r="A172" s="5">
        <v>0</v>
      </c>
      <c r="B172" s="1" t="s">
        <v>167</v>
      </c>
      <c r="C172" s="9">
        <v>1</v>
      </c>
      <c r="D172" s="24">
        <f>C172*A172</f>
        <v>0</v>
      </c>
    </row>
    <row r="173" spans="1:4" ht="16.2" thickBot="1" x14ac:dyDescent="0.35">
      <c r="A173" s="5">
        <v>0</v>
      </c>
      <c r="B173" s="1" t="s">
        <v>168</v>
      </c>
      <c r="C173" s="9">
        <v>1</v>
      </c>
      <c r="D173" s="24">
        <f>C173*A173</f>
        <v>0</v>
      </c>
    </row>
    <row r="174" spans="1:4" ht="16.2" thickBot="1" x14ac:dyDescent="0.35">
      <c r="B174" s="6" t="s">
        <v>169</v>
      </c>
      <c r="C174" s="7"/>
    </row>
    <row r="175" spans="1:4" ht="16.2" thickBot="1" x14ac:dyDescent="0.35">
      <c r="A175" s="5">
        <v>0</v>
      </c>
      <c r="B175" s="1" t="s">
        <v>170</v>
      </c>
      <c r="C175" s="9">
        <v>1</v>
      </c>
      <c r="D175" s="24">
        <f>C175*A175</f>
        <v>0</v>
      </c>
    </row>
    <row r="176" spans="1:4" ht="16.2" thickBot="1" x14ac:dyDescent="0.35">
      <c r="A176" s="5">
        <v>0</v>
      </c>
      <c r="B176" s="1" t="s">
        <v>171</v>
      </c>
      <c r="C176" s="9">
        <v>1</v>
      </c>
      <c r="D176" s="24">
        <f>C176*A176</f>
        <v>0</v>
      </c>
    </row>
    <row r="177" spans="1:4" ht="16.2" thickBot="1" x14ac:dyDescent="0.35">
      <c r="B177" s="6" t="s">
        <v>172</v>
      </c>
      <c r="C177" s="7"/>
    </row>
    <row r="178" spans="1:4" ht="16.2" thickBot="1" x14ac:dyDescent="0.35">
      <c r="A178" s="5">
        <v>0</v>
      </c>
      <c r="B178" s="1" t="s">
        <v>173</v>
      </c>
      <c r="C178" s="9">
        <v>1</v>
      </c>
      <c r="D178" s="24">
        <f t="shared" ref="D178:D184" si="7">C178*A178</f>
        <v>0</v>
      </c>
    </row>
    <row r="179" spans="1:4" ht="31.8" thickBot="1" x14ac:dyDescent="0.35">
      <c r="A179" s="5">
        <v>0</v>
      </c>
      <c r="B179" s="1" t="s">
        <v>174</v>
      </c>
      <c r="C179" s="9">
        <v>1</v>
      </c>
      <c r="D179" s="24">
        <f t="shared" si="7"/>
        <v>0</v>
      </c>
    </row>
    <row r="180" spans="1:4" ht="31.8" thickBot="1" x14ac:dyDescent="0.35">
      <c r="A180" s="5">
        <v>0</v>
      </c>
      <c r="B180" s="1" t="s">
        <v>175</v>
      </c>
      <c r="C180" s="9">
        <v>1</v>
      </c>
      <c r="D180" s="24">
        <f t="shared" si="7"/>
        <v>0</v>
      </c>
    </row>
    <row r="181" spans="1:4" ht="16.2" thickBot="1" x14ac:dyDescent="0.35">
      <c r="A181" s="5">
        <v>0</v>
      </c>
      <c r="B181" s="1" t="s">
        <v>176</v>
      </c>
      <c r="C181" s="9">
        <v>1</v>
      </c>
      <c r="D181" s="24">
        <f t="shared" si="7"/>
        <v>0</v>
      </c>
    </row>
    <row r="182" spans="1:4" ht="16.2" thickBot="1" x14ac:dyDescent="0.35">
      <c r="A182" s="5">
        <v>0</v>
      </c>
      <c r="B182" s="1" t="s">
        <v>177</v>
      </c>
      <c r="C182" s="9">
        <v>1</v>
      </c>
      <c r="D182" s="24">
        <f t="shared" si="7"/>
        <v>0</v>
      </c>
    </row>
    <row r="183" spans="1:4" ht="16.2" thickBot="1" x14ac:dyDescent="0.35">
      <c r="A183" s="5">
        <v>0</v>
      </c>
      <c r="B183" s="1" t="s">
        <v>178</v>
      </c>
      <c r="C183" s="9">
        <v>1</v>
      </c>
      <c r="D183" s="24">
        <f t="shared" si="7"/>
        <v>0</v>
      </c>
    </row>
    <row r="184" spans="1:4" ht="16.2" thickBot="1" x14ac:dyDescent="0.35">
      <c r="A184" s="5">
        <v>0</v>
      </c>
      <c r="B184" s="1" t="s">
        <v>179</v>
      </c>
      <c r="C184" s="9">
        <v>1</v>
      </c>
      <c r="D184" s="24">
        <f t="shared" si="7"/>
        <v>0</v>
      </c>
    </row>
    <row r="185" spans="1:4" ht="16.2" thickBot="1" x14ac:dyDescent="0.35">
      <c r="B185" s="6" t="s">
        <v>180</v>
      </c>
      <c r="C185" s="7"/>
    </row>
    <row r="186" spans="1:4" ht="16.2" thickBot="1" x14ac:dyDescent="0.35">
      <c r="A186" s="5">
        <v>0</v>
      </c>
      <c r="B186" s="1" t="s">
        <v>181</v>
      </c>
      <c r="C186" s="9">
        <v>1</v>
      </c>
      <c r="D186" s="24">
        <f>C186*A186</f>
        <v>0</v>
      </c>
    </row>
    <row r="187" spans="1:4" ht="31.8" thickBot="1" x14ac:dyDescent="0.35">
      <c r="A187" s="5">
        <v>0</v>
      </c>
      <c r="B187" s="1" t="s">
        <v>182</v>
      </c>
      <c r="C187" s="9">
        <v>1</v>
      </c>
      <c r="D187" s="24">
        <f>C187*A187</f>
        <v>0</v>
      </c>
    </row>
    <row r="188" spans="1:4" ht="31.8" thickBot="1" x14ac:dyDescent="0.35">
      <c r="A188" s="5">
        <v>0</v>
      </c>
      <c r="B188" s="1" t="s">
        <v>183</v>
      </c>
      <c r="C188" s="9">
        <v>1</v>
      </c>
      <c r="D188" s="24">
        <f>C188*A188</f>
        <v>0</v>
      </c>
    </row>
    <row r="189" spans="1:4" ht="16.2" thickBot="1" x14ac:dyDescent="0.35">
      <c r="A189" s="5">
        <v>0</v>
      </c>
      <c r="B189" s="1" t="s">
        <v>184</v>
      </c>
      <c r="C189" s="9">
        <v>2</v>
      </c>
      <c r="D189" s="24">
        <f>C189*A189</f>
        <v>0</v>
      </c>
    </row>
    <row r="190" spans="1:4" ht="16.2" thickBot="1" x14ac:dyDescent="0.35">
      <c r="A190" s="5">
        <v>0</v>
      </c>
      <c r="B190" s="1" t="s">
        <v>185</v>
      </c>
      <c r="C190" s="9">
        <v>1</v>
      </c>
      <c r="D190" s="24">
        <f>C190*A190</f>
        <v>0</v>
      </c>
    </row>
    <row r="191" spans="1:4" ht="16.2" thickBot="1" x14ac:dyDescent="0.35">
      <c r="B191" s="6" t="s">
        <v>186</v>
      </c>
      <c r="C191" s="7"/>
    </row>
    <row r="192" spans="1:4" ht="16.2" thickBot="1" x14ac:dyDescent="0.35">
      <c r="A192" s="5">
        <v>0</v>
      </c>
      <c r="B192" s="1" t="s">
        <v>187</v>
      </c>
      <c r="C192" s="9">
        <v>2</v>
      </c>
      <c r="D192" s="24">
        <f t="shared" ref="D192:D197" si="8">C192*A192</f>
        <v>0</v>
      </c>
    </row>
    <row r="193" spans="1:4" ht="16.2" thickBot="1" x14ac:dyDescent="0.35">
      <c r="A193" s="5">
        <v>0</v>
      </c>
      <c r="B193" s="1" t="s">
        <v>188</v>
      </c>
      <c r="C193" s="9">
        <v>1</v>
      </c>
      <c r="D193" s="24">
        <f t="shared" si="8"/>
        <v>0</v>
      </c>
    </row>
    <row r="194" spans="1:4" ht="31.8" thickBot="1" x14ac:dyDescent="0.35">
      <c r="A194" s="5">
        <v>0</v>
      </c>
      <c r="B194" s="1" t="s">
        <v>189</v>
      </c>
      <c r="C194" s="9">
        <v>1</v>
      </c>
      <c r="D194" s="24">
        <f t="shared" si="8"/>
        <v>0</v>
      </c>
    </row>
    <row r="195" spans="1:4" ht="16.2" thickBot="1" x14ac:dyDescent="0.35">
      <c r="A195" s="5">
        <v>0</v>
      </c>
      <c r="B195" s="1" t="s">
        <v>190</v>
      </c>
      <c r="C195" s="9">
        <v>1</v>
      </c>
      <c r="D195" s="24">
        <f t="shared" si="8"/>
        <v>0</v>
      </c>
    </row>
    <row r="196" spans="1:4" ht="16.2" thickBot="1" x14ac:dyDescent="0.35">
      <c r="A196" s="5">
        <v>0</v>
      </c>
      <c r="B196" s="1" t="s">
        <v>191</v>
      </c>
      <c r="C196" s="9">
        <v>2</v>
      </c>
      <c r="D196" s="24">
        <f t="shared" si="8"/>
        <v>0</v>
      </c>
    </row>
    <row r="197" spans="1:4" ht="31.8" thickBot="1" x14ac:dyDescent="0.35">
      <c r="A197" s="5">
        <v>0</v>
      </c>
      <c r="B197" s="1" t="s">
        <v>192</v>
      </c>
      <c r="C197" s="9">
        <v>1</v>
      </c>
      <c r="D197" s="24">
        <f t="shared" si="8"/>
        <v>0</v>
      </c>
    </row>
    <row r="198" spans="1:4" ht="16.2" thickBot="1" x14ac:dyDescent="0.35">
      <c r="B198" s="6" t="s">
        <v>193</v>
      </c>
      <c r="C198" s="7"/>
    </row>
    <row r="199" spans="1:4" ht="16.2" thickBot="1" x14ac:dyDescent="0.35">
      <c r="A199" s="5">
        <v>0</v>
      </c>
      <c r="B199" s="1" t="s">
        <v>194</v>
      </c>
      <c r="C199" s="9">
        <v>1</v>
      </c>
      <c r="D199" s="24">
        <f t="shared" ref="D199:D209" si="9">C199*A199</f>
        <v>0</v>
      </c>
    </row>
    <row r="200" spans="1:4" ht="16.2" thickBot="1" x14ac:dyDescent="0.35">
      <c r="A200" s="5">
        <v>0</v>
      </c>
      <c r="B200" s="1" t="s">
        <v>195</v>
      </c>
      <c r="C200" s="9">
        <v>1</v>
      </c>
      <c r="D200" s="24">
        <f t="shared" si="9"/>
        <v>0</v>
      </c>
    </row>
    <row r="201" spans="1:4" ht="31.8" thickBot="1" x14ac:dyDescent="0.35">
      <c r="A201" s="5">
        <v>0</v>
      </c>
      <c r="B201" s="1" t="s">
        <v>196</v>
      </c>
      <c r="C201" s="9">
        <v>1</v>
      </c>
      <c r="D201" s="24">
        <f t="shared" si="9"/>
        <v>0</v>
      </c>
    </row>
    <row r="202" spans="1:4" ht="31.8" thickBot="1" x14ac:dyDescent="0.35">
      <c r="A202" s="5">
        <v>0</v>
      </c>
      <c r="B202" s="1" t="s">
        <v>197</v>
      </c>
      <c r="C202" s="9">
        <v>1</v>
      </c>
      <c r="D202" s="24">
        <f t="shared" si="9"/>
        <v>0</v>
      </c>
    </row>
    <row r="203" spans="1:4" ht="31.8" thickBot="1" x14ac:dyDescent="0.35">
      <c r="A203" s="5">
        <v>0</v>
      </c>
      <c r="B203" s="1" t="s">
        <v>198</v>
      </c>
      <c r="C203" s="9">
        <v>1</v>
      </c>
      <c r="D203" s="24">
        <f t="shared" si="9"/>
        <v>0</v>
      </c>
    </row>
    <row r="204" spans="1:4" ht="31.8" thickBot="1" x14ac:dyDescent="0.35">
      <c r="A204" s="5">
        <v>0</v>
      </c>
      <c r="B204" s="1" t="s">
        <v>199</v>
      </c>
      <c r="C204" s="9">
        <v>1</v>
      </c>
      <c r="D204" s="24">
        <f t="shared" si="9"/>
        <v>0</v>
      </c>
    </row>
    <row r="205" spans="1:4" ht="16.2" thickBot="1" x14ac:dyDescent="0.35">
      <c r="A205" s="5">
        <v>0</v>
      </c>
      <c r="B205" s="1" t="s">
        <v>200</v>
      </c>
      <c r="C205" s="9">
        <v>1</v>
      </c>
      <c r="D205" s="24">
        <f t="shared" si="9"/>
        <v>0</v>
      </c>
    </row>
    <row r="206" spans="1:4" ht="31.8" thickBot="1" x14ac:dyDescent="0.35">
      <c r="A206" s="5">
        <v>0</v>
      </c>
      <c r="B206" s="1" t="s">
        <v>201</v>
      </c>
      <c r="C206" s="9">
        <v>2</v>
      </c>
      <c r="D206" s="24">
        <f t="shared" si="9"/>
        <v>0</v>
      </c>
    </row>
    <row r="207" spans="1:4" ht="31.8" thickBot="1" x14ac:dyDescent="0.35">
      <c r="A207" s="5">
        <v>0</v>
      </c>
      <c r="B207" s="1" t="s">
        <v>202</v>
      </c>
      <c r="C207" s="9">
        <v>1</v>
      </c>
      <c r="D207" s="24">
        <f t="shared" si="9"/>
        <v>0</v>
      </c>
    </row>
    <row r="208" spans="1:4" ht="31.8" thickBot="1" x14ac:dyDescent="0.35">
      <c r="A208" s="5">
        <v>0</v>
      </c>
      <c r="B208" s="1" t="s">
        <v>203</v>
      </c>
      <c r="C208" s="9">
        <v>1</v>
      </c>
      <c r="D208" s="24">
        <f t="shared" si="9"/>
        <v>0</v>
      </c>
    </row>
    <row r="209" spans="1:4" ht="31.8" thickBot="1" x14ac:dyDescent="0.35">
      <c r="A209" s="5">
        <v>0</v>
      </c>
      <c r="B209" s="1" t="s">
        <v>204</v>
      </c>
      <c r="C209" s="9">
        <v>1</v>
      </c>
      <c r="D209" s="24">
        <f t="shared" si="9"/>
        <v>0</v>
      </c>
    </row>
    <row r="210" spans="1:4" ht="16.2" thickBot="1" x14ac:dyDescent="0.35">
      <c r="B210" s="6" t="s">
        <v>205</v>
      </c>
      <c r="C210" s="7"/>
    </row>
    <row r="211" spans="1:4" ht="16.2" thickBot="1" x14ac:dyDescent="0.35">
      <c r="A211" s="5">
        <v>0</v>
      </c>
      <c r="B211" s="1" t="s">
        <v>206</v>
      </c>
      <c r="C211" s="9">
        <v>1</v>
      </c>
      <c r="D211" s="24">
        <f t="shared" ref="D211:D219" si="10">C211*A211</f>
        <v>0</v>
      </c>
    </row>
    <row r="212" spans="1:4" ht="16.2" thickBot="1" x14ac:dyDescent="0.35">
      <c r="A212" s="5">
        <v>0</v>
      </c>
      <c r="B212" s="1" t="s">
        <v>207</v>
      </c>
      <c r="C212" s="9">
        <v>1</v>
      </c>
      <c r="D212" s="24">
        <f t="shared" si="10"/>
        <v>0</v>
      </c>
    </row>
    <row r="213" spans="1:4" ht="16.2" thickBot="1" x14ac:dyDescent="0.35">
      <c r="A213" s="5">
        <v>0</v>
      </c>
      <c r="B213" s="1" t="s">
        <v>208</v>
      </c>
      <c r="C213" s="9">
        <v>1</v>
      </c>
      <c r="D213" s="24">
        <f t="shared" si="10"/>
        <v>0</v>
      </c>
    </row>
    <row r="214" spans="1:4" ht="31.8" thickBot="1" x14ac:dyDescent="0.35">
      <c r="A214" s="5">
        <v>0</v>
      </c>
      <c r="B214" s="1" t="s">
        <v>209</v>
      </c>
      <c r="C214" s="9">
        <v>1</v>
      </c>
      <c r="D214" s="24">
        <f t="shared" si="10"/>
        <v>0</v>
      </c>
    </row>
    <row r="215" spans="1:4" ht="16.2" thickBot="1" x14ac:dyDescent="0.35">
      <c r="A215" s="5">
        <v>0</v>
      </c>
      <c r="B215" s="1" t="s">
        <v>210</v>
      </c>
      <c r="C215" s="9">
        <v>1</v>
      </c>
      <c r="D215" s="24">
        <f t="shared" si="10"/>
        <v>0</v>
      </c>
    </row>
    <row r="216" spans="1:4" ht="16.2" thickBot="1" x14ac:dyDescent="0.35">
      <c r="A216" s="5">
        <v>0</v>
      </c>
      <c r="B216" s="1" t="s">
        <v>211</v>
      </c>
      <c r="C216" s="9">
        <v>1</v>
      </c>
      <c r="D216" s="24">
        <f t="shared" si="10"/>
        <v>0</v>
      </c>
    </row>
    <row r="217" spans="1:4" ht="16.2" thickBot="1" x14ac:dyDescent="0.35">
      <c r="A217" s="5">
        <v>0</v>
      </c>
      <c r="B217" s="1" t="s">
        <v>212</v>
      </c>
      <c r="C217" s="9">
        <v>1</v>
      </c>
      <c r="D217" s="24">
        <f t="shared" si="10"/>
        <v>0</v>
      </c>
    </row>
    <row r="218" spans="1:4" ht="16.2" thickBot="1" x14ac:dyDescent="0.35">
      <c r="A218" s="5">
        <v>0</v>
      </c>
      <c r="B218" s="1" t="s">
        <v>213</v>
      </c>
      <c r="C218" s="9">
        <v>1</v>
      </c>
      <c r="D218" s="24">
        <f t="shared" si="10"/>
        <v>0</v>
      </c>
    </row>
    <row r="219" spans="1:4" ht="47.4" thickBot="1" x14ac:dyDescent="0.35">
      <c r="A219" s="5">
        <v>0</v>
      </c>
      <c r="B219" s="1" t="s">
        <v>214</v>
      </c>
      <c r="C219" s="9">
        <v>1</v>
      </c>
      <c r="D219" s="24">
        <f t="shared" si="10"/>
        <v>0</v>
      </c>
    </row>
    <row r="220" spans="1:4" ht="16.8" thickBot="1" x14ac:dyDescent="0.35">
      <c r="B220" s="30" t="s">
        <v>5</v>
      </c>
      <c r="C220" s="12">
        <v>50</v>
      </c>
      <c r="D220" s="34">
        <f>SUM(D166:D219)</f>
        <v>0</v>
      </c>
    </row>
    <row r="222" spans="1:4" ht="21" x14ac:dyDescent="0.3">
      <c r="B222" s="13" t="str">
        <f>B4</f>
        <v>1A. Iskolacsalogató</v>
      </c>
      <c r="C222" s="38">
        <v>35</v>
      </c>
      <c r="D222" s="38">
        <f>IF(C3&lt;&gt;"B",D70,D115)</f>
        <v>0</v>
      </c>
    </row>
    <row r="223" spans="1:4" ht="21" x14ac:dyDescent="0.3">
      <c r="B223" s="13" t="str">
        <f>B72</f>
        <v>1B. Bolygópályák</v>
      </c>
      <c r="C223" s="39"/>
      <c r="D223" s="39"/>
    </row>
    <row r="224" spans="1:4" ht="21" x14ac:dyDescent="0.3">
      <c r="B224" s="13" t="str">
        <f>B117</f>
        <v>2. Asztalitenisz</v>
      </c>
      <c r="C224" s="14">
        <v>35</v>
      </c>
      <c r="D224" s="15">
        <f>D162</f>
        <v>0</v>
      </c>
    </row>
    <row r="225" spans="2:4" ht="21.6" thickBot="1" x14ac:dyDescent="0.35">
      <c r="B225" s="13" t="str">
        <f>B164</f>
        <v>3. Autók mozgása</v>
      </c>
      <c r="C225" s="14">
        <v>50</v>
      </c>
      <c r="D225" s="16">
        <f>D220</f>
        <v>0</v>
      </c>
    </row>
    <row r="226" spans="2:4" ht="21.6" thickBot="1" x14ac:dyDescent="0.35">
      <c r="B226" s="13" t="str">
        <f>B162</f>
        <v>Összesen:</v>
      </c>
      <c r="C226" s="17">
        <f>SUM(C222:C225)</f>
        <v>120</v>
      </c>
      <c r="D226" s="18">
        <f>SUM(D222:D225)</f>
        <v>0</v>
      </c>
    </row>
  </sheetData>
  <sheetProtection sheet="1" objects="1" scenarios="1"/>
  <mergeCells count="2">
    <mergeCell ref="C222:C223"/>
    <mergeCell ref="D222:D223"/>
  </mergeCells>
  <dataValidations count="2">
    <dataValidation type="list" showInputMessage="1" showErrorMessage="1" errorTitle="Hibás feladatválasztás" error="Csak az A vagy B betű írható be. Amennyiben üresen marad, az 1.A feladat lesz értékelvel." sqref="C3" xr:uid="{00000000-0002-0000-0100-000000000000}">
      <formula1>"' ,A,B"</formula1>
    </dataValidation>
    <dataValidation type="whole" allowBlank="1" showInputMessage="1" showErrorMessage="1" errorTitle="Hibás adat" error="Csak 0 és 1 értéke lehet a cellának." sqref="A6:A7 A16:A20 A9:A14 A22:A29 A31:A35 A40 A37:A38 A42:A56 A58:A69 A74:A76 A78:A79 A81:A83 A85:A92 A94:A97 A119 A108:A114 A99:A106 A121 A123:A125 A127:A129 A131:A133 A135:A139 A141:A144 A146:A150 A152:A156 A158:A161 A166 A168:A170 A172:A173 A175:A176 A178:A184 A186:A190 A192:A197 A199:A209 A211:A219" xr:uid="{00000000-0002-0000-0100-000001000000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&amp;L2312  gyakolrati vizsga&amp;C&amp;P/&amp;N&amp;R2024.10.22.</oddFooter>
  </headerFooter>
  <rowBreaks count="5" manualBreakCount="5">
    <brk id="56" min="1" max="3" man="1"/>
    <brk id="83" min="1" max="3" man="1"/>
    <brk id="106" min="1" max="3" man="1"/>
    <brk id="139" min="1" max="3" man="1"/>
    <brk id="197" min="1" max="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Névvel ellátott tartományok</vt:lpstr>
      </vt:variant>
      <vt:variant>
        <vt:i4>4</vt:i4>
      </vt:variant>
    </vt:vector>
  </HeadingPairs>
  <TitlesOfParts>
    <vt:vector size="6" baseType="lpstr">
      <vt:lpstr>Használati_útmutató</vt:lpstr>
      <vt:lpstr>Vizsgazo1</vt:lpstr>
      <vt:lpstr>Vizsgazo1!_Hlk112511955</vt:lpstr>
      <vt:lpstr>Vizsgazo1!Nyomtatási_cím</vt:lpstr>
      <vt:lpstr>Használati_útmutató!Nyomtatási_terület</vt:lpstr>
      <vt:lpstr>Vizsgazo1!Nyomtatási_terület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2024-10-22T10:16:44Z</dcterms:created>
  <dcterms:modified xsi:type="dcterms:W3CDTF">2024-10-24T08:58:52Z</dcterms:modified>
</cp:coreProperties>
</file>