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ulás\Digitalis_Kultura\DigitalisKultura_erettsegi\2024_OKT\megoldas\excel\"/>
    </mc:Choice>
  </mc:AlternateContent>
  <xr:revisionPtr revIDLastSave="0" documentId="13_ncr:1_{08E56946-8454-43D2-908D-B42769DF737E}" xr6:coauthVersionLast="47" xr6:coauthVersionMax="47" xr10:uidLastSave="{00000000-0000-0000-0000-000000000000}"/>
  <bookViews>
    <workbookView xWindow="-120" yWindow="-120" windowWidth="29040" windowHeight="15720" activeTab="2" xr2:uid="{0FC1D9F6-35F4-4BB0-A1B4-CC72F434041A}"/>
  </bookViews>
  <sheets>
    <sheet name="Mars" sheetId="2" r:id="rId1"/>
    <sheet name="Vénusz" sheetId="4" r:id="rId2"/>
    <sheet name="Pályák" sheetId="5" r:id="rId3"/>
  </sheets>
  <definedNames>
    <definedName name="ExternalData_1" localSheetId="0" hidden="1">Mars!$A$1:$H$365</definedName>
    <definedName name="ExternalData_1" localSheetId="1" hidden="1">Vénusz!$A$1:$H$365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" i="5"/>
  <c r="J2" i="4"/>
  <c r="K2" i="4"/>
  <c r="L2" i="4"/>
  <c r="J3" i="4"/>
  <c r="K3" i="4"/>
  <c r="L3" i="4"/>
  <c r="J4" i="4"/>
  <c r="K4" i="4"/>
  <c r="L4" i="4"/>
  <c r="J5" i="4"/>
  <c r="K5" i="4"/>
  <c r="L5" i="4"/>
  <c r="J6" i="4"/>
  <c r="K6" i="4"/>
  <c r="L6" i="4"/>
  <c r="J7" i="4"/>
  <c r="K7" i="4"/>
  <c r="L7" i="4"/>
  <c r="J8" i="4"/>
  <c r="K8" i="4"/>
  <c r="L8" i="4"/>
  <c r="J9" i="4"/>
  <c r="K9" i="4"/>
  <c r="L9" i="4"/>
  <c r="J10" i="4"/>
  <c r="K10" i="4"/>
  <c r="L10" i="4"/>
  <c r="J11" i="4"/>
  <c r="K11" i="4"/>
  <c r="L11" i="4"/>
  <c r="J12" i="4"/>
  <c r="K12" i="4"/>
  <c r="L12" i="4"/>
  <c r="J13" i="4"/>
  <c r="K13" i="4"/>
  <c r="L13" i="4"/>
  <c r="J14" i="4"/>
  <c r="K14" i="4"/>
  <c r="L14" i="4"/>
  <c r="J15" i="4"/>
  <c r="K15" i="4"/>
  <c r="L15" i="4"/>
  <c r="J16" i="4"/>
  <c r="K16" i="4"/>
  <c r="L16" i="4"/>
  <c r="J17" i="4"/>
  <c r="K17" i="4"/>
  <c r="L17" i="4"/>
  <c r="J18" i="4"/>
  <c r="K18" i="4"/>
  <c r="L18" i="4"/>
  <c r="J19" i="4"/>
  <c r="K19" i="4"/>
  <c r="L19" i="4"/>
  <c r="J20" i="4"/>
  <c r="K20" i="4"/>
  <c r="L20" i="4"/>
  <c r="J21" i="4"/>
  <c r="K21" i="4"/>
  <c r="L21" i="4"/>
  <c r="J22" i="4"/>
  <c r="K22" i="4"/>
  <c r="L22" i="4"/>
  <c r="J23" i="4"/>
  <c r="K23" i="4"/>
  <c r="L23" i="4"/>
  <c r="J24" i="4"/>
  <c r="K24" i="4"/>
  <c r="L24" i="4"/>
  <c r="J25" i="4"/>
  <c r="K25" i="4"/>
  <c r="L25" i="4"/>
  <c r="J26" i="4"/>
  <c r="K26" i="4"/>
  <c r="L26" i="4"/>
  <c r="J27" i="4"/>
  <c r="K27" i="4"/>
  <c r="L27" i="4"/>
  <c r="J28" i="4"/>
  <c r="K28" i="4"/>
  <c r="L28" i="4"/>
  <c r="J29" i="4"/>
  <c r="K29" i="4"/>
  <c r="L29" i="4"/>
  <c r="J30" i="4"/>
  <c r="K30" i="4"/>
  <c r="L30" i="4"/>
  <c r="J31" i="4"/>
  <c r="K31" i="4"/>
  <c r="L31" i="4"/>
  <c r="J32" i="4"/>
  <c r="K32" i="4"/>
  <c r="L32" i="4"/>
  <c r="J33" i="4"/>
  <c r="K33" i="4"/>
  <c r="L33" i="4"/>
  <c r="J34" i="4"/>
  <c r="K34" i="4"/>
  <c r="L34" i="4"/>
  <c r="J35" i="4"/>
  <c r="K35" i="4"/>
  <c r="L35" i="4"/>
  <c r="J36" i="4"/>
  <c r="K36" i="4"/>
  <c r="L36" i="4"/>
  <c r="J37" i="4"/>
  <c r="K37" i="4"/>
  <c r="L37" i="4"/>
  <c r="J38" i="4"/>
  <c r="K38" i="4"/>
  <c r="L38" i="4"/>
  <c r="J39" i="4"/>
  <c r="K39" i="4"/>
  <c r="L39" i="4"/>
  <c r="J40" i="4"/>
  <c r="K40" i="4"/>
  <c r="L40" i="4"/>
  <c r="J41" i="4"/>
  <c r="K41" i="4"/>
  <c r="L41" i="4"/>
  <c r="J42" i="4"/>
  <c r="K42" i="4"/>
  <c r="L42" i="4"/>
  <c r="J43" i="4"/>
  <c r="K43" i="4"/>
  <c r="L43" i="4"/>
  <c r="J44" i="4"/>
  <c r="K44" i="4"/>
  <c r="L44" i="4"/>
  <c r="J45" i="4"/>
  <c r="K45" i="4"/>
  <c r="L45" i="4"/>
  <c r="J46" i="4"/>
  <c r="K46" i="4"/>
  <c r="L46" i="4"/>
  <c r="J47" i="4"/>
  <c r="K47" i="4"/>
  <c r="L47" i="4"/>
  <c r="J48" i="4"/>
  <c r="K48" i="4"/>
  <c r="L48" i="4"/>
  <c r="J49" i="4"/>
  <c r="K49" i="4"/>
  <c r="L49" i="4"/>
  <c r="J50" i="4"/>
  <c r="K50" i="4"/>
  <c r="L50" i="4"/>
  <c r="J51" i="4"/>
  <c r="K51" i="4"/>
  <c r="L51" i="4"/>
  <c r="J52" i="4"/>
  <c r="K52" i="4"/>
  <c r="L52" i="4"/>
  <c r="J53" i="4"/>
  <c r="K53" i="4"/>
  <c r="L53" i="4"/>
  <c r="J54" i="4"/>
  <c r="K54" i="4"/>
  <c r="L54" i="4"/>
  <c r="J55" i="4"/>
  <c r="K55" i="4"/>
  <c r="L55" i="4"/>
  <c r="J56" i="4"/>
  <c r="K56" i="4"/>
  <c r="L56" i="4"/>
  <c r="J57" i="4"/>
  <c r="K57" i="4"/>
  <c r="L57" i="4"/>
  <c r="J58" i="4"/>
  <c r="K58" i="4"/>
  <c r="L58" i="4"/>
  <c r="J59" i="4"/>
  <c r="K59" i="4"/>
  <c r="L59" i="4"/>
  <c r="J60" i="4"/>
  <c r="K60" i="4"/>
  <c r="L60" i="4"/>
  <c r="J61" i="4"/>
  <c r="K61" i="4"/>
  <c r="L61" i="4"/>
  <c r="J62" i="4"/>
  <c r="K62" i="4"/>
  <c r="L62" i="4"/>
  <c r="J63" i="4"/>
  <c r="K63" i="4"/>
  <c r="L63" i="4"/>
  <c r="J64" i="4"/>
  <c r="K64" i="4"/>
  <c r="L64" i="4"/>
  <c r="J65" i="4"/>
  <c r="K65" i="4"/>
  <c r="L65" i="4"/>
  <c r="J66" i="4"/>
  <c r="K66" i="4"/>
  <c r="L66" i="4"/>
  <c r="J67" i="4"/>
  <c r="K67" i="4"/>
  <c r="L67" i="4"/>
  <c r="J68" i="4"/>
  <c r="K68" i="4"/>
  <c r="L68" i="4"/>
  <c r="J69" i="4"/>
  <c r="K69" i="4"/>
  <c r="L69" i="4"/>
  <c r="J70" i="4"/>
  <c r="K70" i="4"/>
  <c r="L70" i="4"/>
  <c r="J71" i="4"/>
  <c r="K71" i="4"/>
  <c r="L71" i="4"/>
  <c r="J72" i="4"/>
  <c r="K72" i="4"/>
  <c r="L72" i="4"/>
  <c r="J73" i="4"/>
  <c r="K73" i="4"/>
  <c r="L73" i="4"/>
  <c r="J74" i="4"/>
  <c r="K74" i="4"/>
  <c r="L74" i="4"/>
  <c r="J75" i="4"/>
  <c r="K75" i="4"/>
  <c r="L75" i="4"/>
  <c r="J76" i="4"/>
  <c r="K76" i="4"/>
  <c r="L76" i="4"/>
  <c r="J77" i="4"/>
  <c r="K77" i="4"/>
  <c r="L77" i="4"/>
  <c r="J78" i="4"/>
  <c r="K78" i="4"/>
  <c r="L78" i="4"/>
  <c r="J79" i="4"/>
  <c r="K79" i="4"/>
  <c r="L79" i="4"/>
  <c r="J80" i="4"/>
  <c r="K80" i="4"/>
  <c r="L80" i="4"/>
  <c r="J81" i="4"/>
  <c r="K81" i="4"/>
  <c r="L81" i="4"/>
  <c r="J82" i="4"/>
  <c r="K82" i="4"/>
  <c r="L82" i="4"/>
  <c r="J83" i="4"/>
  <c r="K83" i="4"/>
  <c r="L83" i="4"/>
  <c r="J84" i="4"/>
  <c r="K84" i="4"/>
  <c r="L84" i="4"/>
  <c r="J85" i="4"/>
  <c r="K85" i="4"/>
  <c r="L85" i="4"/>
  <c r="J86" i="4"/>
  <c r="K86" i="4"/>
  <c r="L86" i="4"/>
  <c r="J87" i="4"/>
  <c r="K87" i="4"/>
  <c r="L87" i="4"/>
  <c r="J88" i="4"/>
  <c r="K88" i="4"/>
  <c r="L88" i="4"/>
  <c r="J89" i="4"/>
  <c r="K89" i="4"/>
  <c r="L89" i="4"/>
  <c r="J90" i="4"/>
  <c r="K90" i="4"/>
  <c r="L90" i="4"/>
  <c r="J91" i="4"/>
  <c r="K91" i="4"/>
  <c r="L91" i="4"/>
  <c r="J92" i="4"/>
  <c r="K92" i="4"/>
  <c r="L92" i="4"/>
  <c r="J93" i="4"/>
  <c r="K93" i="4"/>
  <c r="L93" i="4"/>
  <c r="J94" i="4"/>
  <c r="K94" i="4"/>
  <c r="L94" i="4"/>
  <c r="J95" i="4"/>
  <c r="K95" i="4"/>
  <c r="L95" i="4"/>
  <c r="J96" i="4"/>
  <c r="K96" i="4"/>
  <c r="L96" i="4"/>
  <c r="J97" i="4"/>
  <c r="K97" i="4"/>
  <c r="L97" i="4"/>
  <c r="J98" i="4"/>
  <c r="K98" i="4"/>
  <c r="L98" i="4"/>
  <c r="J99" i="4"/>
  <c r="K99" i="4"/>
  <c r="L99" i="4"/>
  <c r="J100" i="4"/>
  <c r="K100" i="4"/>
  <c r="L100" i="4"/>
  <c r="J101" i="4"/>
  <c r="K101" i="4"/>
  <c r="L101" i="4"/>
  <c r="J102" i="4"/>
  <c r="K102" i="4"/>
  <c r="L102" i="4"/>
  <c r="J103" i="4"/>
  <c r="K103" i="4"/>
  <c r="L103" i="4"/>
  <c r="J104" i="4"/>
  <c r="K104" i="4"/>
  <c r="L104" i="4"/>
  <c r="J105" i="4"/>
  <c r="K105" i="4"/>
  <c r="L105" i="4"/>
  <c r="J106" i="4"/>
  <c r="K106" i="4"/>
  <c r="L106" i="4"/>
  <c r="J107" i="4"/>
  <c r="K107" i="4"/>
  <c r="L107" i="4"/>
  <c r="J108" i="4"/>
  <c r="K108" i="4"/>
  <c r="L108" i="4"/>
  <c r="J109" i="4"/>
  <c r="K109" i="4"/>
  <c r="L109" i="4"/>
  <c r="J110" i="4"/>
  <c r="K110" i="4"/>
  <c r="L110" i="4"/>
  <c r="J111" i="4"/>
  <c r="K111" i="4"/>
  <c r="L111" i="4"/>
  <c r="J112" i="4"/>
  <c r="K112" i="4"/>
  <c r="L112" i="4"/>
  <c r="J113" i="4"/>
  <c r="K113" i="4"/>
  <c r="L113" i="4"/>
  <c r="J114" i="4"/>
  <c r="K114" i="4"/>
  <c r="L114" i="4"/>
  <c r="J115" i="4"/>
  <c r="K115" i="4"/>
  <c r="L115" i="4"/>
  <c r="J116" i="4"/>
  <c r="K116" i="4"/>
  <c r="L116" i="4"/>
  <c r="J117" i="4"/>
  <c r="K117" i="4"/>
  <c r="L117" i="4"/>
  <c r="J118" i="4"/>
  <c r="K118" i="4"/>
  <c r="L118" i="4"/>
  <c r="J119" i="4"/>
  <c r="K119" i="4"/>
  <c r="L119" i="4"/>
  <c r="J120" i="4"/>
  <c r="K120" i="4"/>
  <c r="L120" i="4"/>
  <c r="J121" i="4"/>
  <c r="K121" i="4"/>
  <c r="L121" i="4"/>
  <c r="J122" i="4"/>
  <c r="K122" i="4"/>
  <c r="L122" i="4"/>
  <c r="J123" i="4"/>
  <c r="K123" i="4"/>
  <c r="L123" i="4"/>
  <c r="J124" i="4"/>
  <c r="K124" i="4"/>
  <c r="L124" i="4"/>
  <c r="J125" i="4"/>
  <c r="K125" i="4"/>
  <c r="L125" i="4"/>
  <c r="J126" i="4"/>
  <c r="K126" i="4"/>
  <c r="L126" i="4"/>
  <c r="J127" i="4"/>
  <c r="K127" i="4"/>
  <c r="L127" i="4"/>
  <c r="J128" i="4"/>
  <c r="K128" i="4"/>
  <c r="L128" i="4"/>
  <c r="J129" i="4"/>
  <c r="K129" i="4"/>
  <c r="L129" i="4"/>
  <c r="J130" i="4"/>
  <c r="K130" i="4"/>
  <c r="L130" i="4"/>
  <c r="J131" i="4"/>
  <c r="K131" i="4"/>
  <c r="L131" i="4"/>
  <c r="J132" i="4"/>
  <c r="K132" i="4"/>
  <c r="L132" i="4"/>
  <c r="J133" i="4"/>
  <c r="K133" i="4"/>
  <c r="L133" i="4"/>
  <c r="J134" i="4"/>
  <c r="K134" i="4"/>
  <c r="L134" i="4"/>
  <c r="J135" i="4"/>
  <c r="K135" i="4"/>
  <c r="L135" i="4"/>
  <c r="J136" i="4"/>
  <c r="K136" i="4"/>
  <c r="L136" i="4"/>
  <c r="J137" i="4"/>
  <c r="K137" i="4"/>
  <c r="L137" i="4"/>
  <c r="J138" i="4"/>
  <c r="K138" i="4"/>
  <c r="L138" i="4"/>
  <c r="J139" i="4"/>
  <c r="K139" i="4"/>
  <c r="L139" i="4"/>
  <c r="J140" i="4"/>
  <c r="K140" i="4"/>
  <c r="L140" i="4"/>
  <c r="J141" i="4"/>
  <c r="K141" i="4"/>
  <c r="L141" i="4"/>
  <c r="J142" i="4"/>
  <c r="K142" i="4"/>
  <c r="L142" i="4"/>
  <c r="J143" i="4"/>
  <c r="K143" i="4"/>
  <c r="L143" i="4"/>
  <c r="J144" i="4"/>
  <c r="K144" i="4"/>
  <c r="L144" i="4"/>
  <c r="J145" i="4"/>
  <c r="K145" i="4"/>
  <c r="L145" i="4"/>
  <c r="J146" i="4"/>
  <c r="K146" i="4"/>
  <c r="L146" i="4"/>
  <c r="J147" i="4"/>
  <c r="K147" i="4"/>
  <c r="L147" i="4"/>
  <c r="J148" i="4"/>
  <c r="K148" i="4"/>
  <c r="L148" i="4"/>
  <c r="J149" i="4"/>
  <c r="K149" i="4"/>
  <c r="L149" i="4"/>
  <c r="J150" i="4"/>
  <c r="K150" i="4"/>
  <c r="L150" i="4"/>
  <c r="J151" i="4"/>
  <c r="K151" i="4"/>
  <c r="L151" i="4"/>
  <c r="J152" i="4"/>
  <c r="K152" i="4"/>
  <c r="L152" i="4"/>
  <c r="J153" i="4"/>
  <c r="K153" i="4"/>
  <c r="L153" i="4"/>
  <c r="J154" i="4"/>
  <c r="K154" i="4"/>
  <c r="L154" i="4"/>
  <c r="J155" i="4"/>
  <c r="K155" i="4"/>
  <c r="L155" i="4"/>
  <c r="J156" i="4"/>
  <c r="K156" i="4"/>
  <c r="L156" i="4"/>
  <c r="J157" i="4"/>
  <c r="K157" i="4"/>
  <c r="L157" i="4"/>
  <c r="J158" i="4"/>
  <c r="K158" i="4"/>
  <c r="L158" i="4"/>
  <c r="J159" i="4"/>
  <c r="K159" i="4"/>
  <c r="L159" i="4"/>
  <c r="J160" i="4"/>
  <c r="K160" i="4"/>
  <c r="L160" i="4"/>
  <c r="J161" i="4"/>
  <c r="K161" i="4"/>
  <c r="L161" i="4"/>
  <c r="J162" i="4"/>
  <c r="K162" i="4"/>
  <c r="L162" i="4"/>
  <c r="J163" i="4"/>
  <c r="K163" i="4"/>
  <c r="L163" i="4"/>
  <c r="J164" i="4"/>
  <c r="K164" i="4"/>
  <c r="L164" i="4"/>
  <c r="J165" i="4"/>
  <c r="K165" i="4"/>
  <c r="L165" i="4"/>
  <c r="J166" i="4"/>
  <c r="K166" i="4"/>
  <c r="L166" i="4"/>
  <c r="J167" i="4"/>
  <c r="K167" i="4"/>
  <c r="L167" i="4"/>
  <c r="J168" i="4"/>
  <c r="K168" i="4"/>
  <c r="L168" i="4"/>
  <c r="J169" i="4"/>
  <c r="K169" i="4"/>
  <c r="L169" i="4"/>
  <c r="J170" i="4"/>
  <c r="K170" i="4"/>
  <c r="L170" i="4"/>
  <c r="J171" i="4"/>
  <c r="K171" i="4"/>
  <c r="L171" i="4"/>
  <c r="J172" i="4"/>
  <c r="K172" i="4"/>
  <c r="L172" i="4"/>
  <c r="J173" i="4"/>
  <c r="K173" i="4"/>
  <c r="L173" i="4"/>
  <c r="J174" i="4"/>
  <c r="K174" i="4"/>
  <c r="L174" i="4"/>
  <c r="J175" i="4"/>
  <c r="K175" i="4"/>
  <c r="L175" i="4"/>
  <c r="J176" i="4"/>
  <c r="K176" i="4"/>
  <c r="L176" i="4"/>
  <c r="J177" i="4"/>
  <c r="K177" i="4"/>
  <c r="L177" i="4"/>
  <c r="J178" i="4"/>
  <c r="K178" i="4"/>
  <c r="L178" i="4"/>
  <c r="J179" i="4"/>
  <c r="K179" i="4"/>
  <c r="L179" i="4"/>
  <c r="J180" i="4"/>
  <c r="K180" i="4"/>
  <c r="L180" i="4"/>
  <c r="J181" i="4"/>
  <c r="K181" i="4"/>
  <c r="L181" i="4"/>
  <c r="J182" i="4"/>
  <c r="K182" i="4"/>
  <c r="L182" i="4"/>
  <c r="J183" i="4"/>
  <c r="K183" i="4"/>
  <c r="L183" i="4"/>
  <c r="J184" i="4"/>
  <c r="K184" i="4"/>
  <c r="L184" i="4"/>
  <c r="J185" i="4"/>
  <c r="K185" i="4"/>
  <c r="L185" i="4"/>
  <c r="J186" i="4"/>
  <c r="K186" i="4"/>
  <c r="L186" i="4"/>
  <c r="J187" i="4"/>
  <c r="K187" i="4"/>
  <c r="L187" i="4"/>
  <c r="J188" i="4"/>
  <c r="K188" i="4"/>
  <c r="L188" i="4"/>
  <c r="J189" i="4"/>
  <c r="K189" i="4"/>
  <c r="L189" i="4"/>
  <c r="J190" i="4"/>
  <c r="K190" i="4"/>
  <c r="L190" i="4"/>
  <c r="J191" i="4"/>
  <c r="K191" i="4"/>
  <c r="L191" i="4"/>
  <c r="J192" i="4"/>
  <c r="K192" i="4"/>
  <c r="L192" i="4"/>
  <c r="J193" i="4"/>
  <c r="K193" i="4"/>
  <c r="L193" i="4"/>
  <c r="J194" i="4"/>
  <c r="K194" i="4"/>
  <c r="L194" i="4"/>
  <c r="J195" i="4"/>
  <c r="K195" i="4"/>
  <c r="L195" i="4"/>
  <c r="J196" i="4"/>
  <c r="K196" i="4"/>
  <c r="L196" i="4"/>
  <c r="J197" i="4"/>
  <c r="K197" i="4"/>
  <c r="L197" i="4"/>
  <c r="J198" i="4"/>
  <c r="K198" i="4"/>
  <c r="L198" i="4"/>
  <c r="J199" i="4"/>
  <c r="K199" i="4"/>
  <c r="L199" i="4"/>
  <c r="J200" i="4"/>
  <c r="K200" i="4"/>
  <c r="L200" i="4"/>
  <c r="J201" i="4"/>
  <c r="K201" i="4"/>
  <c r="L201" i="4"/>
  <c r="J202" i="4"/>
  <c r="K202" i="4"/>
  <c r="L202" i="4"/>
  <c r="J203" i="4"/>
  <c r="K203" i="4"/>
  <c r="L203" i="4"/>
  <c r="J204" i="4"/>
  <c r="K204" i="4"/>
  <c r="L204" i="4"/>
  <c r="J205" i="4"/>
  <c r="K205" i="4"/>
  <c r="L205" i="4"/>
  <c r="J206" i="4"/>
  <c r="K206" i="4"/>
  <c r="L206" i="4"/>
  <c r="J207" i="4"/>
  <c r="K207" i="4"/>
  <c r="L207" i="4"/>
  <c r="J208" i="4"/>
  <c r="K208" i="4"/>
  <c r="L208" i="4"/>
  <c r="J209" i="4"/>
  <c r="K209" i="4"/>
  <c r="L209" i="4"/>
  <c r="J210" i="4"/>
  <c r="K210" i="4"/>
  <c r="L210" i="4"/>
  <c r="J211" i="4"/>
  <c r="K211" i="4"/>
  <c r="L211" i="4"/>
  <c r="J212" i="4"/>
  <c r="K212" i="4"/>
  <c r="L212" i="4"/>
  <c r="J213" i="4"/>
  <c r="K213" i="4"/>
  <c r="L213" i="4"/>
  <c r="J214" i="4"/>
  <c r="K214" i="4"/>
  <c r="L214" i="4"/>
  <c r="J215" i="4"/>
  <c r="K215" i="4"/>
  <c r="L215" i="4"/>
  <c r="J216" i="4"/>
  <c r="K216" i="4"/>
  <c r="L216" i="4"/>
  <c r="J217" i="4"/>
  <c r="K217" i="4"/>
  <c r="L217" i="4"/>
  <c r="J218" i="4"/>
  <c r="K218" i="4"/>
  <c r="L218" i="4"/>
  <c r="J219" i="4"/>
  <c r="K219" i="4"/>
  <c r="L219" i="4"/>
  <c r="J220" i="4"/>
  <c r="K220" i="4"/>
  <c r="L220" i="4"/>
  <c r="J221" i="4"/>
  <c r="K221" i="4"/>
  <c r="L221" i="4"/>
  <c r="J222" i="4"/>
  <c r="K222" i="4"/>
  <c r="L222" i="4"/>
  <c r="J223" i="4"/>
  <c r="K223" i="4"/>
  <c r="L223" i="4"/>
  <c r="J224" i="4"/>
  <c r="K224" i="4"/>
  <c r="L224" i="4"/>
  <c r="J225" i="4"/>
  <c r="K225" i="4"/>
  <c r="L225" i="4"/>
  <c r="J226" i="4"/>
  <c r="K226" i="4"/>
  <c r="L226" i="4"/>
  <c r="J227" i="4"/>
  <c r="K227" i="4"/>
  <c r="L227" i="4"/>
  <c r="J228" i="4"/>
  <c r="K228" i="4"/>
  <c r="L228" i="4"/>
  <c r="J229" i="4"/>
  <c r="K229" i="4"/>
  <c r="L229" i="4"/>
  <c r="J230" i="4"/>
  <c r="K230" i="4"/>
  <c r="L230" i="4"/>
  <c r="J231" i="4"/>
  <c r="K231" i="4"/>
  <c r="L231" i="4"/>
  <c r="J232" i="4"/>
  <c r="K232" i="4"/>
  <c r="L232" i="4"/>
  <c r="J233" i="4"/>
  <c r="K233" i="4"/>
  <c r="L233" i="4"/>
  <c r="J234" i="4"/>
  <c r="K234" i="4"/>
  <c r="L234" i="4"/>
  <c r="J235" i="4"/>
  <c r="K235" i="4"/>
  <c r="L235" i="4"/>
  <c r="J236" i="4"/>
  <c r="K236" i="4"/>
  <c r="L236" i="4"/>
  <c r="J237" i="4"/>
  <c r="K237" i="4"/>
  <c r="L237" i="4"/>
  <c r="J238" i="4"/>
  <c r="K238" i="4"/>
  <c r="L238" i="4"/>
  <c r="J239" i="4"/>
  <c r="K239" i="4"/>
  <c r="L239" i="4"/>
  <c r="J240" i="4"/>
  <c r="K240" i="4"/>
  <c r="L240" i="4"/>
  <c r="J241" i="4"/>
  <c r="K241" i="4"/>
  <c r="L241" i="4"/>
  <c r="J242" i="4"/>
  <c r="K242" i="4"/>
  <c r="L242" i="4"/>
  <c r="J243" i="4"/>
  <c r="K243" i="4"/>
  <c r="L243" i="4"/>
  <c r="J244" i="4"/>
  <c r="K244" i="4"/>
  <c r="L244" i="4"/>
  <c r="J245" i="4"/>
  <c r="K245" i="4"/>
  <c r="L245" i="4"/>
  <c r="J246" i="4"/>
  <c r="K246" i="4"/>
  <c r="L246" i="4"/>
  <c r="J247" i="4"/>
  <c r="K247" i="4"/>
  <c r="L247" i="4"/>
  <c r="J248" i="4"/>
  <c r="K248" i="4"/>
  <c r="L248" i="4"/>
  <c r="J249" i="4"/>
  <c r="K249" i="4"/>
  <c r="L249" i="4"/>
  <c r="J250" i="4"/>
  <c r="K250" i="4"/>
  <c r="L250" i="4"/>
  <c r="J251" i="4"/>
  <c r="K251" i="4"/>
  <c r="L251" i="4"/>
  <c r="J252" i="4"/>
  <c r="K252" i="4"/>
  <c r="L252" i="4"/>
  <c r="J253" i="4"/>
  <c r="K253" i="4"/>
  <c r="L253" i="4"/>
  <c r="J254" i="4"/>
  <c r="K254" i="4"/>
  <c r="L254" i="4"/>
  <c r="J255" i="4"/>
  <c r="K255" i="4"/>
  <c r="L255" i="4"/>
  <c r="J256" i="4"/>
  <c r="K256" i="4"/>
  <c r="L256" i="4"/>
  <c r="J257" i="4"/>
  <c r="K257" i="4"/>
  <c r="L257" i="4"/>
  <c r="J258" i="4"/>
  <c r="K258" i="4"/>
  <c r="L258" i="4"/>
  <c r="J259" i="4"/>
  <c r="K259" i="4"/>
  <c r="L259" i="4"/>
  <c r="J260" i="4"/>
  <c r="K260" i="4"/>
  <c r="L260" i="4"/>
  <c r="J261" i="4"/>
  <c r="K261" i="4"/>
  <c r="L261" i="4"/>
  <c r="J262" i="4"/>
  <c r="K262" i="4"/>
  <c r="L262" i="4"/>
  <c r="J263" i="4"/>
  <c r="K263" i="4"/>
  <c r="L263" i="4"/>
  <c r="J264" i="4"/>
  <c r="K264" i="4"/>
  <c r="L264" i="4"/>
  <c r="J265" i="4"/>
  <c r="K265" i="4"/>
  <c r="L265" i="4"/>
  <c r="J266" i="4"/>
  <c r="K266" i="4"/>
  <c r="L266" i="4"/>
  <c r="J267" i="4"/>
  <c r="K267" i="4"/>
  <c r="L267" i="4"/>
  <c r="J268" i="4"/>
  <c r="K268" i="4"/>
  <c r="L268" i="4"/>
  <c r="J269" i="4"/>
  <c r="K269" i="4"/>
  <c r="L269" i="4"/>
  <c r="J270" i="4"/>
  <c r="K270" i="4"/>
  <c r="L270" i="4"/>
  <c r="J271" i="4"/>
  <c r="K271" i="4"/>
  <c r="L271" i="4"/>
  <c r="J272" i="4"/>
  <c r="K272" i="4"/>
  <c r="L272" i="4"/>
  <c r="J273" i="4"/>
  <c r="K273" i="4"/>
  <c r="L273" i="4"/>
  <c r="J274" i="4"/>
  <c r="K274" i="4"/>
  <c r="L274" i="4"/>
  <c r="J275" i="4"/>
  <c r="K275" i="4"/>
  <c r="L275" i="4"/>
  <c r="J276" i="4"/>
  <c r="K276" i="4"/>
  <c r="L276" i="4"/>
  <c r="J277" i="4"/>
  <c r="K277" i="4"/>
  <c r="L277" i="4"/>
  <c r="J278" i="4"/>
  <c r="K278" i="4"/>
  <c r="L278" i="4"/>
  <c r="J279" i="4"/>
  <c r="K279" i="4"/>
  <c r="L279" i="4"/>
  <c r="J280" i="4"/>
  <c r="K280" i="4"/>
  <c r="L280" i="4"/>
  <c r="J281" i="4"/>
  <c r="K281" i="4"/>
  <c r="L281" i="4"/>
  <c r="J282" i="4"/>
  <c r="K282" i="4"/>
  <c r="L282" i="4"/>
  <c r="J283" i="4"/>
  <c r="K283" i="4"/>
  <c r="L283" i="4"/>
  <c r="J284" i="4"/>
  <c r="K284" i="4"/>
  <c r="L284" i="4"/>
  <c r="J285" i="4"/>
  <c r="K285" i="4"/>
  <c r="L285" i="4"/>
  <c r="J286" i="4"/>
  <c r="K286" i="4"/>
  <c r="L286" i="4"/>
  <c r="J287" i="4"/>
  <c r="K287" i="4"/>
  <c r="L287" i="4"/>
  <c r="J288" i="4"/>
  <c r="K288" i="4"/>
  <c r="L288" i="4"/>
  <c r="J289" i="4"/>
  <c r="K289" i="4"/>
  <c r="L289" i="4"/>
  <c r="J290" i="4"/>
  <c r="K290" i="4"/>
  <c r="L290" i="4"/>
  <c r="J291" i="4"/>
  <c r="K291" i="4"/>
  <c r="L291" i="4"/>
  <c r="J292" i="4"/>
  <c r="K292" i="4"/>
  <c r="L292" i="4"/>
  <c r="J293" i="4"/>
  <c r="K293" i="4"/>
  <c r="L293" i="4"/>
  <c r="J294" i="4"/>
  <c r="K294" i="4"/>
  <c r="L294" i="4"/>
  <c r="J295" i="4"/>
  <c r="K295" i="4"/>
  <c r="L295" i="4"/>
  <c r="J296" i="4"/>
  <c r="K296" i="4"/>
  <c r="L296" i="4"/>
  <c r="J297" i="4"/>
  <c r="K297" i="4"/>
  <c r="L297" i="4"/>
  <c r="J298" i="4"/>
  <c r="K298" i="4"/>
  <c r="L298" i="4"/>
  <c r="J299" i="4"/>
  <c r="K299" i="4"/>
  <c r="L299" i="4"/>
  <c r="J300" i="4"/>
  <c r="K300" i="4"/>
  <c r="L300" i="4"/>
  <c r="J301" i="4"/>
  <c r="K301" i="4"/>
  <c r="L301" i="4"/>
  <c r="J302" i="4"/>
  <c r="K302" i="4"/>
  <c r="L302" i="4"/>
  <c r="J303" i="4"/>
  <c r="K303" i="4"/>
  <c r="L303" i="4"/>
  <c r="J304" i="4"/>
  <c r="K304" i="4"/>
  <c r="L304" i="4"/>
  <c r="J305" i="4"/>
  <c r="K305" i="4"/>
  <c r="L305" i="4"/>
  <c r="J306" i="4"/>
  <c r="K306" i="4"/>
  <c r="L306" i="4"/>
  <c r="J307" i="4"/>
  <c r="K307" i="4"/>
  <c r="L307" i="4"/>
  <c r="J308" i="4"/>
  <c r="K308" i="4"/>
  <c r="L308" i="4"/>
  <c r="J309" i="4"/>
  <c r="K309" i="4"/>
  <c r="L309" i="4"/>
  <c r="J310" i="4"/>
  <c r="K310" i="4"/>
  <c r="L310" i="4"/>
  <c r="J311" i="4"/>
  <c r="K311" i="4"/>
  <c r="L311" i="4"/>
  <c r="J312" i="4"/>
  <c r="K312" i="4"/>
  <c r="L312" i="4"/>
  <c r="J313" i="4"/>
  <c r="K313" i="4"/>
  <c r="L313" i="4"/>
  <c r="J314" i="4"/>
  <c r="K314" i="4"/>
  <c r="L314" i="4"/>
  <c r="J315" i="4"/>
  <c r="K315" i="4"/>
  <c r="L315" i="4"/>
  <c r="J316" i="4"/>
  <c r="K316" i="4"/>
  <c r="L316" i="4"/>
  <c r="J317" i="4"/>
  <c r="K317" i="4"/>
  <c r="L317" i="4"/>
  <c r="J318" i="4"/>
  <c r="K318" i="4"/>
  <c r="L318" i="4"/>
  <c r="J319" i="4"/>
  <c r="K319" i="4"/>
  <c r="L319" i="4"/>
  <c r="J320" i="4"/>
  <c r="K320" i="4"/>
  <c r="L320" i="4"/>
  <c r="J321" i="4"/>
  <c r="K321" i="4"/>
  <c r="L321" i="4"/>
  <c r="J322" i="4"/>
  <c r="K322" i="4"/>
  <c r="L322" i="4"/>
  <c r="J323" i="4"/>
  <c r="K323" i="4"/>
  <c r="L323" i="4"/>
  <c r="J324" i="4"/>
  <c r="K324" i="4"/>
  <c r="L324" i="4"/>
  <c r="J325" i="4"/>
  <c r="K325" i="4"/>
  <c r="L325" i="4"/>
  <c r="J326" i="4"/>
  <c r="K326" i="4"/>
  <c r="L326" i="4"/>
  <c r="J327" i="4"/>
  <c r="K327" i="4"/>
  <c r="L327" i="4"/>
  <c r="J328" i="4"/>
  <c r="K328" i="4"/>
  <c r="L328" i="4"/>
  <c r="J329" i="4"/>
  <c r="K329" i="4"/>
  <c r="L329" i="4"/>
  <c r="J330" i="4"/>
  <c r="K330" i="4"/>
  <c r="L330" i="4"/>
  <c r="J331" i="4"/>
  <c r="K331" i="4"/>
  <c r="L331" i="4"/>
  <c r="J332" i="4"/>
  <c r="K332" i="4"/>
  <c r="L332" i="4"/>
  <c r="J333" i="4"/>
  <c r="K333" i="4"/>
  <c r="L333" i="4"/>
  <c r="J334" i="4"/>
  <c r="K334" i="4"/>
  <c r="L334" i="4"/>
  <c r="J335" i="4"/>
  <c r="K335" i="4"/>
  <c r="L335" i="4"/>
  <c r="J336" i="4"/>
  <c r="K336" i="4"/>
  <c r="L336" i="4"/>
  <c r="J337" i="4"/>
  <c r="K337" i="4"/>
  <c r="L337" i="4"/>
  <c r="J338" i="4"/>
  <c r="K338" i="4"/>
  <c r="L338" i="4"/>
  <c r="J339" i="4"/>
  <c r="K339" i="4"/>
  <c r="L339" i="4"/>
  <c r="J340" i="4"/>
  <c r="K340" i="4"/>
  <c r="L340" i="4"/>
  <c r="J341" i="4"/>
  <c r="K341" i="4"/>
  <c r="L341" i="4"/>
  <c r="J342" i="4"/>
  <c r="K342" i="4"/>
  <c r="L342" i="4"/>
  <c r="J343" i="4"/>
  <c r="K343" i="4"/>
  <c r="L343" i="4"/>
  <c r="J344" i="4"/>
  <c r="K344" i="4"/>
  <c r="L344" i="4"/>
  <c r="J345" i="4"/>
  <c r="K345" i="4"/>
  <c r="L345" i="4"/>
  <c r="J346" i="4"/>
  <c r="K346" i="4"/>
  <c r="L346" i="4"/>
  <c r="J347" i="4"/>
  <c r="K347" i="4"/>
  <c r="L347" i="4"/>
  <c r="J348" i="4"/>
  <c r="K348" i="4"/>
  <c r="L348" i="4"/>
  <c r="J349" i="4"/>
  <c r="K349" i="4"/>
  <c r="L349" i="4"/>
  <c r="J350" i="4"/>
  <c r="K350" i="4"/>
  <c r="L350" i="4"/>
  <c r="J351" i="4"/>
  <c r="K351" i="4"/>
  <c r="L351" i="4"/>
  <c r="J352" i="4"/>
  <c r="K352" i="4"/>
  <c r="L352" i="4"/>
  <c r="J353" i="4"/>
  <c r="K353" i="4"/>
  <c r="L353" i="4"/>
  <c r="J354" i="4"/>
  <c r="K354" i="4"/>
  <c r="L354" i="4"/>
  <c r="J355" i="4"/>
  <c r="K355" i="4"/>
  <c r="L355" i="4"/>
  <c r="J356" i="4"/>
  <c r="K356" i="4"/>
  <c r="L356" i="4"/>
  <c r="J357" i="4"/>
  <c r="K357" i="4"/>
  <c r="L357" i="4"/>
  <c r="J358" i="4"/>
  <c r="K358" i="4"/>
  <c r="L358" i="4"/>
  <c r="J359" i="4"/>
  <c r="K359" i="4"/>
  <c r="L359" i="4"/>
  <c r="J360" i="4"/>
  <c r="K360" i="4"/>
  <c r="L360" i="4"/>
  <c r="J361" i="4"/>
  <c r="K361" i="4"/>
  <c r="L361" i="4"/>
  <c r="J362" i="4"/>
  <c r="K362" i="4"/>
  <c r="L362" i="4"/>
  <c r="J363" i="4"/>
  <c r="K363" i="4"/>
  <c r="L363" i="4"/>
  <c r="J364" i="4"/>
  <c r="K364" i="4"/>
  <c r="L364" i="4"/>
  <c r="J365" i="4"/>
  <c r="K365" i="4"/>
  <c r="L365" i="4"/>
  <c r="K1" i="4"/>
  <c r="L1" i="4"/>
  <c r="J1" i="4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" i="5"/>
  <c r="J2" i="2"/>
  <c r="K2" i="2"/>
  <c r="L2" i="2"/>
  <c r="J3" i="2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K205" i="2"/>
  <c r="L205" i="2"/>
  <c r="J206" i="2"/>
  <c r="K206" i="2"/>
  <c r="L206" i="2"/>
  <c r="J207" i="2"/>
  <c r="K207" i="2"/>
  <c r="L207" i="2"/>
  <c r="J208" i="2"/>
  <c r="K208" i="2"/>
  <c r="L208" i="2"/>
  <c r="J209" i="2"/>
  <c r="K209" i="2"/>
  <c r="L209" i="2"/>
  <c r="J210" i="2"/>
  <c r="K210" i="2"/>
  <c r="L210" i="2"/>
  <c r="J211" i="2"/>
  <c r="K211" i="2"/>
  <c r="L211" i="2"/>
  <c r="J212" i="2"/>
  <c r="K212" i="2"/>
  <c r="L212" i="2"/>
  <c r="J213" i="2"/>
  <c r="K213" i="2"/>
  <c r="L213" i="2"/>
  <c r="J214" i="2"/>
  <c r="K214" i="2"/>
  <c r="L214" i="2"/>
  <c r="J215" i="2"/>
  <c r="K215" i="2"/>
  <c r="L215" i="2"/>
  <c r="J216" i="2"/>
  <c r="K216" i="2"/>
  <c r="L216" i="2"/>
  <c r="J217" i="2"/>
  <c r="K217" i="2"/>
  <c r="L217" i="2"/>
  <c r="J218" i="2"/>
  <c r="K218" i="2"/>
  <c r="L218" i="2"/>
  <c r="J219" i="2"/>
  <c r="K219" i="2"/>
  <c r="L219" i="2"/>
  <c r="J220" i="2"/>
  <c r="K220" i="2"/>
  <c r="L220" i="2"/>
  <c r="J221" i="2"/>
  <c r="K221" i="2"/>
  <c r="L221" i="2"/>
  <c r="J222" i="2"/>
  <c r="K222" i="2"/>
  <c r="L222" i="2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K227" i="2"/>
  <c r="L227" i="2"/>
  <c r="J228" i="2"/>
  <c r="K228" i="2"/>
  <c r="L228" i="2"/>
  <c r="J229" i="2"/>
  <c r="K229" i="2"/>
  <c r="L229" i="2"/>
  <c r="J230" i="2"/>
  <c r="K230" i="2"/>
  <c r="L230" i="2"/>
  <c r="J231" i="2"/>
  <c r="K231" i="2"/>
  <c r="L231" i="2"/>
  <c r="J232" i="2"/>
  <c r="K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/>
  <c r="J243" i="2"/>
  <c r="K243" i="2"/>
  <c r="L243" i="2"/>
  <c r="J244" i="2"/>
  <c r="K244" i="2"/>
  <c r="L244" i="2"/>
  <c r="J245" i="2"/>
  <c r="K245" i="2"/>
  <c r="L245" i="2"/>
  <c r="J246" i="2"/>
  <c r="K246" i="2"/>
  <c r="L246" i="2"/>
  <c r="J247" i="2"/>
  <c r="K247" i="2"/>
  <c r="L247" i="2"/>
  <c r="J248" i="2"/>
  <c r="K248" i="2"/>
  <c r="L248" i="2"/>
  <c r="J249" i="2"/>
  <c r="K249" i="2"/>
  <c r="L249" i="2"/>
  <c r="J250" i="2"/>
  <c r="K250" i="2"/>
  <c r="L250" i="2"/>
  <c r="J251" i="2"/>
  <c r="K251" i="2"/>
  <c r="L251" i="2"/>
  <c r="J252" i="2"/>
  <c r="K252" i="2"/>
  <c r="L252" i="2"/>
  <c r="J253" i="2"/>
  <c r="K253" i="2"/>
  <c r="L253" i="2"/>
  <c r="J254" i="2"/>
  <c r="K254" i="2"/>
  <c r="L254" i="2"/>
  <c r="J255" i="2"/>
  <c r="K255" i="2"/>
  <c r="L255" i="2"/>
  <c r="J256" i="2"/>
  <c r="K256" i="2"/>
  <c r="L256" i="2"/>
  <c r="J257" i="2"/>
  <c r="K257" i="2"/>
  <c r="L257" i="2"/>
  <c r="J258" i="2"/>
  <c r="K258" i="2"/>
  <c r="L258" i="2"/>
  <c r="J259" i="2"/>
  <c r="K259" i="2"/>
  <c r="L259" i="2"/>
  <c r="J260" i="2"/>
  <c r="K260" i="2"/>
  <c r="L260" i="2"/>
  <c r="J261" i="2"/>
  <c r="K261" i="2"/>
  <c r="L261" i="2"/>
  <c r="J262" i="2"/>
  <c r="K262" i="2"/>
  <c r="L262" i="2"/>
  <c r="J263" i="2"/>
  <c r="K263" i="2"/>
  <c r="L263" i="2"/>
  <c r="J264" i="2"/>
  <c r="K264" i="2"/>
  <c r="L264" i="2"/>
  <c r="J265" i="2"/>
  <c r="K265" i="2"/>
  <c r="L265" i="2"/>
  <c r="J266" i="2"/>
  <c r="K266" i="2"/>
  <c r="L266" i="2"/>
  <c r="J267" i="2"/>
  <c r="K267" i="2"/>
  <c r="L267" i="2"/>
  <c r="J268" i="2"/>
  <c r="K268" i="2"/>
  <c r="L268" i="2"/>
  <c r="J269" i="2"/>
  <c r="K269" i="2"/>
  <c r="L269" i="2"/>
  <c r="J270" i="2"/>
  <c r="K270" i="2"/>
  <c r="L270" i="2"/>
  <c r="J271" i="2"/>
  <c r="K271" i="2"/>
  <c r="L271" i="2"/>
  <c r="J272" i="2"/>
  <c r="K272" i="2"/>
  <c r="L272" i="2"/>
  <c r="J273" i="2"/>
  <c r="K273" i="2"/>
  <c r="L273" i="2"/>
  <c r="J274" i="2"/>
  <c r="K274" i="2"/>
  <c r="L274" i="2"/>
  <c r="J275" i="2"/>
  <c r="K275" i="2"/>
  <c r="L275" i="2"/>
  <c r="J276" i="2"/>
  <c r="K276" i="2"/>
  <c r="L276" i="2"/>
  <c r="J277" i="2"/>
  <c r="K277" i="2"/>
  <c r="L277" i="2"/>
  <c r="J278" i="2"/>
  <c r="K278" i="2"/>
  <c r="L278" i="2"/>
  <c r="J279" i="2"/>
  <c r="K279" i="2"/>
  <c r="L279" i="2"/>
  <c r="J280" i="2"/>
  <c r="K280" i="2"/>
  <c r="L280" i="2"/>
  <c r="J281" i="2"/>
  <c r="K281" i="2"/>
  <c r="L281" i="2"/>
  <c r="J282" i="2"/>
  <c r="K282" i="2"/>
  <c r="L282" i="2"/>
  <c r="J283" i="2"/>
  <c r="K283" i="2"/>
  <c r="L283" i="2"/>
  <c r="J284" i="2"/>
  <c r="K284" i="2"/>
  <c r="L284" i="2"/>
  <c r="J285" i="2"/>
  <c r="K285" i="2"/>
  <c r="L285" i="2"/>
  <c r="J286" i="2"/>
  <c r="K286" i="2"/>
  <c r="L286" i="2"/>
  <c r="J287" i="2"/>
  <c r="K287" i="2"/>
  <c r="L287" i="2"/>
  <c r="J288" i="2"/>
  <c r="K288" i="2"/>
  <c r="L288" i="2"/>
  <c r="J289" i="2"/>
  <c r="K289" i="2"/>
  <c r="L289" i="2"/>
  <c r="J290" i="2"/>
  <c r="K290" i="2"/>
  <c r="L290" i="2"/>
  <c r="J291" i="2"/>
  <c r="K291" i="2"/>
  <c r="L291" i="2"/>
  <c r="J292" i="2"/>
  <c r="K292" i="2"/>
  <c r="L292" i="2"/>
  <c r="J293" i="2"/>
  <c r="K293" i="2"/>
  <c r="L293" i="2"/>
  <c r="J294" i="2"/>
  <c r="K294" i="2"/>
  <c r="L294" i="2"/>
  <c r="J295" i="2"/>
  <c r="K295" i="2"/>
  <c r="L295" i="2"/>
  <c r="J296" i="2"/>
  <c r="K296" i="2"/>
  <c r="L296" i="2"/>
  <c r="J297" i="2"/>
  <c r="K297" i="2"/>
  <c r="L297" i="2"/>
  <c r="J298" i="2"/>
  <c r="K298" i="2"/>
  <c r="L298" i="2"/>
  <c r="J299" i="2"/>
  <c r="K299" i="2"/>
  <c r="L299" i="2"/>
  <c r="J300" i="2"/>
  <c r="K300" i="2"/>
  <c r="L300" i="2"/>
  <c r="J301" i="2"/>
  <c r="K301" i="2"/>
  <c r="L301" i="2"/>
  <c r="J302" i="2"/>
  <c r="K302" i="2"/>
  <c r="L302" i="2"/>
  <c r="J303" i="2"/>
  <c r="K303" i="2"/>
  <c r="L303" i="2"/>
  <c r="J304" i="2"/>
  <c r="K304" i="2"/>
  <c r="L304" i="2"/>
  <c r="J305" i="2"/>
  <c r="K305" i="2"/>
  <c r="L305" i="2"/>
  <c r="J306" i="2"/>
  <c r="K306" i="2"/>
  <c r="L306" i="2"/>
  <c r="J307" i="2"/>
  <c r="K307" i="2"/>
  <c r="L307" i="2"/>
  <c r="J308" i="2"/>
  <c r="K308" i="2"/>
  <c r="L308" i="2"/>
  <c r="J309" i="2"/>
  <c r="K309" i="2"/>
  <c r="L309" i="2"/>
  <c r="J310" i="2"/>
  <c r="K310" i="2"/>
  <c r="L310" i="2"/>
  <c r="J311" i="2"/>
  <c r="K311" i="2"/>
  <c r="L311" i="2"/>
  <c r="J312" i="2"/>
  <c r="K312" i="2"/>
  <c r="L312" i="2"/>
  <c r="J313" i="2"/>
  <c r="K313" i="2"/>
  <c r="L313" i="2"/>
  <c r="J314" i="2"/>
  <c r="K314" i="2"/>
  <c r="L314" i="2"/>
  <c r="J315" i="2"/>
  <c r="K315" i="2"/>
  <c r="L315" i="2"/>
  <c r="J316" i="2"/>
  <c r="K316" i="2"/>
  <c r="L316" i="2"/>
  <c r="J317" i="2"/>
  <c r="K317" i="2"/>
  <c r="L317" i="2"/>
  <c r="J318" i="2"/>
  <c r="K318" i="2"/>
  <c r="L318" i="2"/>
  <c r="J319" i="2"/>
  <c r="K319" i="2"/>
  <c r="L319" i="2"/>
  <c r="J320" i="2"/>
  <c r="K320" i="2"/>
  <c r="L320" i="2"/>
  <c r="J321" i="2"/>
  <c r="K321" i="2"/>
  <c r="L321" i="2"/>
  <c r="J322" i="2"/>
  <c r="K322" i="2"/>
  <c r="L322" i="2"/>
  <c r="J323" i="2"/>
  <c r="K323" i="2"/>
  <c r="L323" i="2"/>
  <c r="J324" i="2"/>
  <c r="K324" i="2"/>
  <c r="L324" i="2"/>
  <c r="J325" i="2"/>
  <c r="K325" i="2"/>
  <c r="L325" i="2"/>
  <c r="J326" i="2"/>
  <c r="K326" i="2"/>
  <c r="L326" i="2"/>
  <c r="J327" i="2"/>
  <c r="K327" i="2"/>
  <c r="L327" i="2"/>
  <c r="J328" i="2"/>
  <c r="K328" i="2"/>
  <c r="L328" i="2"/>
  <c r="J329" i="2"/>
  <c r="K329" i="2"/>
  <c r="L329" i="2"/>
  <c r="J330" i="2"/>
  <c r="K330" i="2"/>
  <c r="L330" i="2"/>
  <c r="J331" i="2"/>
  <c r="K331" i="2"/>
  <c r="L331" i="2"/>
  <c r="J332" i="2"/>
  <c r="K332" i="2"/>
  <c r="L332" i="2"/>
  <c r="J333" i="2"/>
  <c r="K333" i="2"/>
  <c r="L333" i="2"/>
  <c r="J334" i="2"/>
  <c r="K334" i="2"/>
  <c r="L334" i="2"/>
  <c r="J335" i="2"/>
  <c r="K335" i="2"/>
  <c r="L335" i="2"/>
  <c r="J336" i="2"/>
  <c r="K336" i="2"/>
  <c r="L336" i="2"/>
  <c r="J337" i="2"/>
  <c r="K337" i="2"/>
  <c r="L337" i="2"/>
  <c r="J338" i="2"/>
  <c r="K338" i="2"/>
  <c r="L338" i="2"/>
  <c r="J339" i="2"/>
  <c r="K339" i="2"/>
  <c r="L339" i="2"/>
  <c r="J340" i="2"/>
  <c r="K340" i="2"/>
  <c r="L340" i="2"/>
  <c r="J341" i="2"/>
  <c r="K341" i="2"/>
  <c r="L341" i="2"/>
  <c r="J342" i="2"/>
  <c r="K342" i="2"/>
  <c r="L342" i="2"/>
  <c r="J343" i="2"/>
  <c r="K343" i="2"/>
  <c r="L343" i="2"/>
  <c r="J344" i="2"/>
  <c r="K344" i="2"/>
  <c r="L344" i="2"/>
  <c r="J345" i="2"/>
  <c r="K345" i="2"/>
  <c r="L345" i="2"/>
  <c r="J346" i="2"/>
  <c r="K346" i="2"/>
  <c r="L346" i="2"/>
  <c r="J347" i="2"/>
  <c r="K347" i="2"/>
  <c r="L347" i="2"/>
  <c r="J348" i="2"/>
  <c r="K348" i="2"/>
  <c r="L348" i="2"/>
  <c r="J349" i="2"/>
  <c r="K349" i="2"/>
  <c r="L349" i="2"/>
  <c r="J350" i="2"/>
  <c r="K350" i="2"/>
  <c r="L350" i="2"/>
  <c r="J351" i="2"/>
  <c r="K351" i="2"/>
  <c r="L351" i="2"/>
  <c r="J352" i="2"/>
  <c r="K352" i="2"/>
  <c r="L352" i="2"/>
  <c r="J353" i="2"/>
  <c r="K353" i="2"/>
  <c r="L353" i="2"/>
  <c r="J354" i="2"/>
  <c r="K354" i="2"/>
  <c r="L354" i="2"/>
  <c r="J355" i="2"/>
  <c r="K355" i="2"/>
  <c r="L355" i="2"/>
  <c r="J356" i="2"/>
  <c r="K356" i="2"/>
  <c r="L356" i="2"/>
  <c r="J357" i="2"/>
  <c r="K357" i="2"/>
  <c r="L357" i="2"/>
  <c r="J358" i="2"/>
  <c r="K358" i="2"/>
  <c r="L358" i="2"/>
  <c r="J359" i="2"/>
  <c r="K359" i="2"/>
  <c r="L359" i="2"/>
  <c r="J360" i="2"/>
  <c r="K360" i="2"/>
  <c r="L360" i="2"/>
  <c r="J361" i="2"/>
  <c r="K361" i="2"/>
  <c r="L361" i="2"/>
  <c r="J362" i="2"/>
  <c r="K362" i="2"/>
  <c r="L362" i="2"/>
  <c r="J363" i="2"/>
  <c r="K363" i="2"/>
  <c r="L363" i="2"/>
  <c r="J364" i="2"/>
  <c r="K364" i="2"/>
  <c r="L364" i="2"/>
  <c r="J365" i="2"/>
  <c r="K365" i="2"/>
  <c r="L365" i="2"/>
  <c r="K1" i="2"/>
  <c r="L1" i="2"/>
  <c r="J1" i="2"/>
  <c r="I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C533C3-1AEB-4560-A7F9-E68B9324E38B}" keepAlive="1" name="Lekérdezés - mars" description="A munkafüzetben levő „mars” lekérdezés kapcsolata" type="5" refreshedVersion="8" background="1" saveData="1">
    <dbPr connection="Provider=Microsoft.Mashup.OleDb.1;Data Source=$Workbook$;Location=mars;Extended Properties=&quot;&quot;" command="SELECT * FROM [mars]"/>
  </connection>
  <connection id="2" xr16:uid="{C9859429-1CA2-4E0C-BCA8-577D1FC6561A}" keepAlive="1" name="Lekérdezés - venus" description="A munkafüzetben levő „venus” lekérdezés kapcsolata" type="5" refreshedVersion="8" background="1" saveData="1">
    <dbPr connection="Provider=Microsoft.Mashup.OleDb.1;Data Source=$Workbook$;Location=venus;Extended Properties=&quot;&quot;" command="SELECT * FROM [venus]"/>
  </connection>
</connections>
</file>

<file path=xl/sharedStrings.xml><?xml version="1.0" encoding="utf-8"?>
<sst xmlns="http://schemas.openxmlformats.org/spreadsheetml/2006/main" count="1479" uniqueCount="378">
  <si>
    <t>-</t>
  </si>
  <si>
    <t>+</t>
  </si>
  <si>
    <t>Mars</t>
  </si>
  <si>
    <t>Vénusz</t>
  </si>
  <si>
    <t>Dátum</t>
  </si>
  <si>
    <t>Óra</t>
  </si>
  <si>
    <t>Perc</t>
  </si>
  <si>
    <t>Mperc</t>
  </si>
  <si>
    <t>°</t>
  </si>
  <si>
    <t>'</t>
  </si>
  <si>
    <t>Idő(s)</t>
  </si>
  <si>
    <t>Szög(°)</t>
  </si>
  <si>
    <t>"</t>
  </si>
  <si>
    <t>2022,01,01</t>
  </si>
  <si>
    <t>2022,01,02</t>
  </si>
  <si>
    <t>2022,01,03</t>
  </si>
  <si>
    <t>2022,01,04</t>
  </si>
  <si>
    <t>2022,01,05</t>
  </si>
  <si>
    <t>2022,01,06</t>
  </si>
  <si>
    <t>2022,01,07</t>
  </si>
  <si>
    <t>2022,01,08</t>
  </si>
  <si>
    <t>2022,01,09</t>
  </si>
  <si>
    <t>2022,01,10</t>
  </si>
  <si>
    <t>2022,01,11</t>
  </si>
  <si>
    <t>2022,01,12</t>
  </si>
  <si>
    <t>2022,01,13</t>
  </si>
  <si>
    <t>2022,01,14</t>
  </si>
  <si>
    <t>2022,01,15</t>
  </si>
  <si>
    <t>2022,01,16</t>
  </si>
  <si>
    <t>2022,01,17</t>
  </si>
  <si>
    <t>2022,01,18</t>
  </si>
  <si>
    <t>2022,01,19</t>
  </si>
  <si>
    <t>2022,01,20</t>
  </si>
  <si>
    <t>2022,01,21</t>
  </si>
  <si>
    <t>2022,01,22</t>
  </si>
  <si>
    <t>2022,01,23</t>
  </si>
  <si>
    <t>2022,01,24</t>
  </si>
  <si>
    <t>2022,01,25</t>
  </si>
  <si>
    <t>2022,01,26</t>
  </si>
  <si>
    <t>2022,01,27</t>
  </si>
  <si>
    <t>2022,01,28</t>
  </si>
  <si>
    <t>2022,01,29</t>
  </si>
  <si>
    <t>2022,01,30</t>
  </si>
  <si>
    <t>2022,01,31</t>
  </si>
  <si>
    <t>2022,02,01</t>
  </si>
  <si>
    <t>2022,02,02</t>
  </si>
  <si>
    <t>2022,02,03</t>
  </si>
  <si>
    <t>2022,02,04</t>
  </si>
  <si>
    <t>2022,02,05</t>
  </si>
  <si>
    <t>2022,02,06</t>
  </si>
  <si>
    <t>2022,02,07</t>
  </si>
  <si>
    <t>2022,02,08</t>
  </si>
  <si>
    <t>2022,02,09</t>
  </si>
  <si>
    <t>2022,02,10</t>
  </si>
  <si>
    <t>2022,02,11</t>
  </si>
  <si>
    <t>2022,02,12</t>
  </si>
  <si>
    <t>2022,02,13</t>
  </si>
  <si>
    <t>2022,02,14</t>
  </si>
  <si>
    <t>2022,02,15</t>
  </si>
  <si>
    <t>2022,02,16</t>
  </si>
  <si>
    <t>2022,02,17</t>
  </si>
  <si>
    <t>2022,02,18</t>
  </si>
  <si>
    <t>2022,02,19</t>
  </si>
  <si>
    <t>2022,02,20</t>
  </si>
  <si>
    <t>2022,02,21</t>
  </si>
  <si>
    <t>2022,02,22</t>
  </si>
  <si>
    <t>2022,02,23</t>
  </si>
  <si>
    <t>2022,02,24</t>
  </si>
  <si>
    <t>2022,02,25</t>
  </si>
  <si>
    <t>2022,02,26</t>
  </si>
  <si>
    <t>2022,02,27</t>
  </si>
  <si>
    <t>2022,02,28</t>
  </si>
  <si>
    <t>2022,03,01</t>
  </si>
  <si>
    <t>2022,03,02</t>
  </si>
  <si>
    <t>2022,03,03</t>
  </si>
  <si>
    <t>2022,03,04</t>
  </si>
  <si>
    <t>2022,03,05</t>
  </si>
  <si>
    <t>2022,03,06</t>
  </si>
  <si>
    <t>2022,03,07</t>
  </si>
  <si>
    <t>2022,03,08</t>
  </si>
  <si>
    <t>2022,03,09</t>
  </si>
  <si>
    <t>2022,03,10</t>
  </si>
  <si>
    <t>2022,03,11</t>
  </si>
  <si>
    <t>2022,03,12</t>
  </si>
  <si>
    <t>2022,03,13</t>
  </si>
  <si>
    <t>2022,03,14</t>
  </si>
  <si>
    <t>2022,03,15</t>
  </si>
  <si>
    <t>2022,03,16</t>
  </si>
  <si>
    <t>2022,03,17</t>
  </si>
  <si>
    <t>2022,03,18</t>
  </si>
  <si>
    <t>2022,03,19</t>
  </si>
  <si>
    <t>2022,03,20</t>
  </si>
  <si>
    <t>2022,03,21</t>
  </si>
  <si>
    <t>2022,03,22</t>
  </si>
  <si>
    <t>2022,03,23</t>
  </si>
  <si>
    <t>2022,03,24</t>
  </si>
  <si>
    <t>2022,03,25</t>
  </si>
  <si>
    <t>2022,03,26</t>
  </si>
  <si>
    <t>2022,03,27</t>
  </si>
  <si>
    <t>2022,03,28</t>
  </si>
  <si>
    <t>2022,03,29</t>
  </si>
  <si>
    <t>2022,03,30</t>
  </si>
  <si>
    <t>2022,03,31</t>
  </si>
  <si>
    <t>2022,04,01</t>
  </si>
  <si>
    <t>2022,04,02</t>
  </si>
  <si>
    <t>2022,04,03</t>
  </si>
  <si>
    <t>2022,04,04</t>
  </si>
  <si>
    <t>2022,04,05</t>
  </si>
  <si>
    <t>2022,04,06</t>
  </si>
  <si>
    <t>2022,04,07</t>
  </si>
  <si>
    <t>2022,04,08</t>
  </si>
  <si>
    <t>2022,04,09</t>
  </si>
  <si>
    <t>2022,04,10</t>
  </si>
  <si>
    <t>2022,04,11</t>
  </si>
  <si>
    <t>2022,04,12</t>
  </si>
  <si>
    <t>2022,04,13</t>
  </si>
  <si>
    <t>2022,04,14</t>
  </si>
  <si>
    <t>2022,04,15</t>
  </si>
  <si>
    <t>2022,04,16</t>
  </si>
  <si>
    <t>2022,04,17</t>
  </si>
  <si>
    <t>2022,04,18</t>
  </si>
  <si>
    <t>2022,04,19</t>
  </si>
  <si>
    <t>2022,04,20</t>
  </si>
  <si>
    <t>2022,04,21</t>
  </si>
  <si>
    <t>2022,04,22</t>
  </si>
  <si>
    <t>2022,04,23</t>
  </si>
  <si>
    <t>2022,04,24</t>
  </si>
  <si>
    <t>2022,04,25</t>
  </si>
  <si>
    <t>2022,04,26</t>
  </si>
  <si>
    <t>2022,04,27</t>
  </si>
  <si>
    <t>2022,04,28</t>
  </si>
  <si>
    <t>2022,04,29</t>
  </si>
  <si>
    <t>2022,04,30</t>
  </si>
  <si>
    <t>2022,05,01</t>
  </si>
  <si>
    <t>2022,05,02</t>
  </si>
  <si>
    <t>2022,05,03</t>
  </si>
  <si>
    <t>2022,05,04</t>
  </si>
  <si>
    <t>2022,05,05</t>
  </si>
  <si>
    <t>2022,05,06</t>
  </si>
  <si>
    <t>2022,05,07</t>
  </si>
  <si>
    <t>2022,05,08</t>
  </si>
  <si>
    <t>2022,05,09</t>
  </si>
  <si>
    <t>2022,05,10</t>
  </si>
  <si>
    <t>2022,05,11</t>
  </si>
  <si>
    <t>2022,05,12</t>
  </si>
  <si>
    <t>2022,05,13</t>
  </si>
  <si>
    <t>2022,05,14</t>
  </si>
  <si>
    <t>2022,05,15</t>
  </si>
  <si>
    <t>2022,05,16</t>
  </si>
  <si>
    <t>2022,05,17</t>
  </si>
  <si>
    <t>2022,05,18</t>
  </si>
  <si>
    <t>2022,05,19</t>
  </si>
  <si>
    <t>2022,05,20</t>
  </si>
  <si>
    <t>2022,05,21</t>
  </si>
  <si>
    <t>2022,05,22</t>
  </si>
  <si>
    <t>2022,05,23</t>
  </si>
  <si>
    <t>2022,05,24</t>
  </si>
  <si>
    <t>2022,05,25</t>
  </si>
  <si>
    <t>2022,05,26</t>
  </si>
  <si>
    <t>2022,05,27</t>
  </si>
  <si>
    <t>2022,05,28</t>
  </si>
  <si>
    <t>2022,05,29</t>
  </si>
  <si>
    <t>2022,05,30</t>
  </si>
  <si>
    <t>2022,05,31</t>
  </si>
  <si>
    <t>2022,06,01</t>
  </si>
  <si>
    <t>2022,06,02</t>
  </si>
  <si>
    <t>2022,06,03</t>
  </si>
  <si>
    <t>2022,06,04</t>
  </si>
  <si>
    <t>2022,06,05</t>
  </si>
  <si>
    <t>2022,06,06</t>
  </si>
  <si>
    <t>2022,06,07</t>
  </si>
  <si>
    <t>2022,06,08</t>
  </si>
  <si>
    <t>2022,06,09</t>
  </si>
  <si>
    <t>2022,06,10</t>
  </si>
  <si>
    <t>2022,06,11</t>
  </si>
  <si>
    <t>2022,06,12</t>
  </si>
  <si>
    <t>2022,06,13</t>
  </si>
  <si>
    <t>2022,06,14</t>
  </si>
  <si>
    <t>2022,06,15</t>
  </si>
  <si>
    <t>2022,06,16</t>
  </si>
  <si>
    <t>2022,06,17</t>
  </si>
  <si>
    <t>2022,06,18</t>
  </si>
  <si>
    <t>2022,06,19</t>
  </si>
  <si>
    <t>2022,06,20</t>
  </si>
  <si>
    <t>2022,06,21</t>
  </si>
  <si>
    <t>2022,06,22</t>
  </si>
  <si>
    <t>2022,06,23</t>
  </si>
  <si>
    <t>2022,06,24</t>
  </si>
  <si>
    <t>2022,06,25</t>
  </si>
  <si>
    <t>2022,06,26</t>
  </si>
  <si>
    <t>2022,06,27</t>
  </si>
  <si>
    <t>2022,06,28</t>
  </si>
  <si>
    <t>2022,06,29</t>
  </si>
  <si>
    <t>2022,06,30</t>
  </si>
  <si>
    <t>2022,07,01</t>
  </si>
  <si>
    <t>2022,07,02</t>
  </si>
  <si>
    <t>2022,07,03</t>
  </si>
  <si>
    <t>2022,07,04</t>
  </si>
  <si>
    <t>2022,07,05</t>
  </si>
  <si>
    <t>2022,07,06</t>
  </si>
  <si>
    <t>2022,07,07</t>
  </si>
  <si>
    <t>2022,07,08</t>
  </si>
  <si>
    <t>2022,07,09</t>
  </si>
  <si>
    <t>2022,07,10</t>
  </si>
  <si>
    <t>2022,07,11</t>
  </si>
  <si>
    <t>2022,07,12</t>
  </si>
  <si>
    <t>2022,07,13</t>
  </si>
  <si>
    <t>2022,07,14</t>
  </si>
  <si>
    <t>2022,07,15</t>
  </si>
  <si>
    <t>2022,07,16</t>
  </si>
  <si>
    <t>2022,07,17</t>
  </si>
  <si>
    <t>2022,07,18</t>
  </si>
  <si>
    <t>2022,07,19</t>
  </si>
  <si>
    <t>2022,07,20</t>
  </si>
  <si>
    <t>2022,07,21</t>
  </si>
  <si>
    <t>2022,07,22</t>
  </si>
  <si>
    <t>2022,07,23</t>
  </si>
  <si>
    <t>2022,07,24</t>
  </si>
  <si>
    <t>2022,07,25</t>
  </si>
  <si>
    <t>2022,07,26</t>
  </si>
  <si>
    <t>2022,07,27</t>
  </si>
  <si>
    <t>2022,07,28</t>
  </si>
  <si>
    <t>2022,07,29</t>
  </si>
  <si>
    <t>2022,07,30</t>
  </si>
  <si>
    <t>2022,07,31</t>
  </si>
  <si>
    <t>2022,08,01</t>
  </si>
  <si>
    <t>2022,08,02</t>
  </si>
  <si>
    <t>2022,08,03</t>
  </si>
  <si>
    <t>2022,08,04</t>
  </si>
  <si>
    <t>2022,08,05</t>
  </si>
  <si>
    <t>2022,08,06</t>
  </si>
  <si>
    <t>2022,08,07</t>
  </si>
  <si>
    <t>2022,08,08</t>
  </si>
  <si>
    <t>2022,08,09</t>
  </si>
  <si>
    <t>2022,08,10</t>
  </si>
  <si>
    <t>2022,08,11</t>
  </si>
  <si>
    <t>2022,08,12</t>
  </si>
  <si>
    <t>2022,08,13</t>
  </si>
  <si>
    <t>2022,08,14</t>
  </si>
  <si>
    <t>2022,08,15</t>
  </si>
  <si>
    <t>2022,08,16</t>
  </si>
  <si>
    <t>2022,08,17</t>
  </si>
  <si>
    <t>2022,08,18</t>
  </si>
  <si>
    <t>2022,08,19</t>
  </si>
  <si>
    <t>2022,08,20</t>
  </si>
  <si>
    <t>2022,08,21</t>
  </si>
  <si>
    <t>2022,08,22</t>
  </si>
  <si>
    <t>2022,08,23</t>
  </si>
  <si>
    <t>2022,08,24</t>
  </si>
  <si>
    <t>2022,08,25</t>
  </si>
  <si>
    <t>2022,08,26</t>
  </si>
  <si>
    <t>2022,08,27</t>
  </si>
  <si>
    <t>2022,08,28</t>
  </si>
  <si>
    <t>2022,08,29</t>
  </si>
  <si>
    <t>2022,08,30</t>
  </si>
  <si>
    <t>2022,08,31</t>
  </si>
  <si>
    <t>2022,09,01</t>
  </si>
  <si>
    <t>2022,09,02</t>
  </si>
  <si>
    <t>2022,09,03</t>
  </si>
  <si>
    <t>2022,09,04</t>
  </si>
  <si>
    <t>2022,09,05</t>
  </si>
  <si>
    <t>2022,09,06</t>
  </si>
  <si>
    <t>2022,09,07</t>
  </si>
  <si>
    <t>2022,09,08</t>
  </si>
  <si>
    <t>2022,09,09</t>
  </si>
  <si>
    <t>2022,09,10</t>
  </si>
  <si>
    <t>2022,09,11</t>
  </si>
  <si>
    <t>2022,09,12</t>
  </si>
  <si>
    <t>2022,09,13</t>
  </si>
  <si>
    <t>2022,09,14</t>
  </si>
  <si>
    <t>2022,09,15</t>
  </si>
  <si>
    <t>2022,09,16</t>
  </si>
  <si>
    <t>2022,09,17</t>
  </si>
  <si>
    <t>2022,09,18</t>
  </si>
  <si>
    <t>2022,09,19</t>
  </si>
  <si>
    <t>2022,09,20</t>
  </si>
  <si>
    <t>2022,09,21</t>
  </si>
  <si>
    <t>2022,09,22</t>
  </si>
  <si>
    <t>2022,09,23</t>
  </si>
  <si>
    <t>2022,09,24</t>
  </si>
  <si>
    <t>2022,09,25</t>
  </si>
  <si>
    <t>2022,09,26</t>
  </si>
  <si>
    <t>2022,09,27</t>
  </si>
  <si>
    <t>2022,09,28</t>
  </si>
  <si>
    <t>2022,09,29</t>
  </si>
  <si>
    <t>2022,09,30</t>
  </si>
  <si>
    <t>2022,10,01</t>
  </si>
  <si>
    <t>2022,10,02</t>
  </si>
  <si>
    <t>2022,10,03</t>
  </si>
  <si>
    <t>2022,10,04</t>
  </si>
  <si>
    <t>2022,10,05</t>
  </si>
  <si>
    <t>2022,10,06</t>
  </si>
  <si>
    <t>2022,10,07</t>
  </si>
  <si>
    <t>2022,10,08</t>
  </si>
  <si>
    <t>2022,10,09</t>
  </si>
  <si>
    <t>2022,10,10</t>
  </si>
  <si>
    <t>2022,10,11</t>
  </si>
  <si>
    <t>2022,10,12</t>
  </si>
  <si>
    <t>2022,10,13</t>
  </si>
  <si>
    <t>2022,10,14</t>
  </si>
  <si>
    <t>2022,10,15</t>
  </si>
  <si>
    <t>2022,10,16</t>
  </si>
  <si>
    <t>2022,10,17</t>
  </si>
  <si>
    <t>2022,10,18</t>
  </si>
  <si>
    <t>2022,10,19</t>
  </si>
  <si>
    <t>2022,10,20</t>
  </si>
  <si>
    <t>2022,10,21</t>
  </si>
  <si>
    <t>2022,10,22</t>
  </si>
  <si>
    <t>2022,10,23</t>
  </si>
  <si>
    <t>2022,10,24</t>
  </si>
  <si>
    <t>2022,10,25</t>
  </si>
  <si>
    <t>2022,10,26</t>
  </si>
  <si>
    <t>2022,10,27</t>
  </si>
  <si>
    <t>2022,10,28</t>
  </si>
  <si>
    <t>2022,10,29</t>
  </si>
  <si>
    <t>2022,10,30</t>
  </si>
  <si>
    <t>2022,10,31</t>
  </si>
  <si>
    <t>2022,11,01</t>
  </si>
  <si>
    <t>2022,11,02</t>
  </si>
  <si>
    <t>2022,11,03</t>
  </si>
  <si>
    <t>2022,11,04</t>
  </si>
  <si>
    <t>2022,11,05</t>
  </si>
  <si>
    <t>2022,11,06</t>
  </si>
  <si>
    <t>2022,11,07</t>
  </si>
  <si>
    <t>2022,11,08</t>
  </si>
  <si>
    <t>2022,11,09</t>
  </si>
  <si>
    <t>2022,11,10</t>
  </si>
  <si>
    <t>2022,11,11</t>
  </si>
  <si>
    <t>2022,11,12</t>
  </si>
  <si>
    <t>2022,11,13</t>
  </si>
  <si>
    <t>2022,11,14</t>
  </si>
  <si>
    <t>2022,11,15</t>
  </si>
  <si>
    <t>2022,11,16</t>
  </si>
  <si>
    <t>2022,11,17</t>
  </si>
  <si>
    <t>2022,11,18</t>
  </si>
  <si>
    <t>2022,11,19</t>
  </si>
  <si>
    <t>2022,11,20</t>
  </si>
  <si>
    <t>2022,11,21</t>
  </si>
  <si>
    <t>2022,11,22</t>
  </si>
  <si>
    <t>2022,11,23</t>
  </si>
  <si>
    <t>2022,11,24</t>
  </si>
  <si>
    <t>2022,11,25</t>
  </si>
  <si>
    <t>2022,11,26</t>
  </si>
  <si>
    <t>2022,11,27</t>
  </si>
  <si>
    <t>2022,11,28</t>
  </si>
  <si>
    <t>2022,11,29</t>
  </si>
  <si>
    <t>2022,11,30</t>
  </si>
  <si>
    <t>2022,12,01</t>
  </si>
  <si>
    <t>2022,12,02</t>
  </si>
  <si>
    <t>2022,12,03</t>
  </si>
  <si>
    <t>2022,12,04</t>
  </si>
  <si>
    <t>2022,12,05</t>
  </si>
  <si>
    <t>2022,12,06</t>
  </si>
  <si>
    <t>2022,12,07</t>
  </si>
  <si>
    <t>2022,12,08</t>
  </si>
  <si>
    <t>2022,12,09</t>
  </si>
  <si>
    <t>2022,12,10</t>
  </si>
  <si>
    <t>2022,12,11</t>
  </si>
  <si>
    <t>2022,12,12</t>
  </si>
  <si>
    <t>2022,12,13</t>
  </si>
  <si>
    <t>2022,12,14</t>
  </si>
  <si>
    <t>2022,12,15</t>
  </si>
  <si>
    <t>2022,12,16</t>
  </si>
  <si>
    <t>2022,12,17</t>
  </si>
  <si>
    <t>2022,12,18</t>
  </si>
  <si>
    <t>2022,12,19</t>
  </si>
  <si>
    <t>2022,12,20</t>
  </si>
  <si>
    <t>2022,12,21</t>
  </si>
  <si>
    <t>2022,12,22</t>
  </si>
  <si>
    <t>2022,12,23</t>
  </si>
  <si>
    <t>2022,12,24</t>
  </si>
  <si>
    <t>2022,12,25</t>
  </si>
  <si>
    <t>2022,12,26</t>
  </si>
  <si>
    <t>2022,12,27</t>
  </si>
  <si>
    <t>2022,12,28</t>
  </si>
  <si>
    <t>2022,12,29</t>
  </si>
  <si>
    <t>2022,12,30</t>
  </si>
  <si>
    <t>2022,12,31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</si>
</sst>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applyNumberFormat="1" applyBorder="1"/>
    <xf numFmtId="0" fontId="0" fillId="0" borderId="0" xfId="0" applyBorder="1"/>
    <xf numFmtId="0" fontId="0" fillId="0" borderId="0" xfId="0" applyNumberFormat="1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Font="1" applyBorder="1"/>
    <xf numFmtId="0" fontId="0" fillId="0" borderId="1" xfId="0" applyNumberFormat="1" applyFont="1" applyBorder="1"/>
    <xf numFmtId="0" fontId="0" fillId="0" borderId="1" xfId="0" applyNumberFormat="1" applyBorder="1"/>
    <xf numFmtId="165" fontId="0" fillId="0" borderId="1" xfId="0" applyNumberFormat="1" applyBorder="1"/>
    <xf numFmtId="0" fontId="0" fillId="0" borderId="1" xfId="0" applyBorder="1"/>
  </cellXfs>
  <cellStyles count="1">
    <cellStyle name="Normál" xfId="0" builtinId="0"/>
  </cellStyles>
  <dxfs count="6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Mars és a Vénusz mozgása 2022-ben – Dec</a:t>
            </a:r>
          </a:p>
        </c:rich>
      </c:tx>
      <c:layout>
        <c:manualLayout>
          <c:xMode val="edge"/>
          <c:yMode val="edge"/>
          <c:x val="6.846675434927077E-2"/>
          <c:y val="9.3876043429681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Pályák!$I$3:$I$367</c:f>
              <c:numCache>
                <c:formatCode>General</c:formatCode>
                <c:ptCount val="365"/>
                <c:pt idx="0">
                  <c:v>-22.461194444444445</c:v>
                </c:pt>
                <c:pt idx="1">
                  <c:v>-22.560833333333335</c:v>
                </c:pt>
                <c:pt idx="2">
                  <c:v>-22.657027777777778</c:v>
                </c:pt>
                <c:pt idx="3">
                  <c:v>-22.749722222222221</c:v>
                </c:pt>
                <c:pt idx="4">
                  <c:v>-22.838888888888889</c:v>
                </c:pt>
                <c:pt idx="5">
                  <c:v>-22.924499999999998</c:v>
                </c:pt>
                <c:pt idx="6">
                  <c:v>-23.006527777777777</c:v>
                </c:pt>
                <c:pt idx="7">
                  <c:v>-23.084916666666668</c:v>
                </c:pt>
                <c:pt idx="8">
                  <c:v>-23.159694444444444</c:v>
                </c:pt>
                <c:pt idx="9">
                  <c:v>-23.230805555555555</c:v>
                </c:pt>
                <c:pt idx="10">
                  <c:v>-23.298194444444444</c:v>
                </c:pt>
                <c:pt idx="11">
                  <c:v>-23.361916666666666</c:v>
                </c:pt>
                <c:pt idx="12">
                  <c:v>-23.421888888888891</c:v>
                </c:pt>
                <c:pt idx="13">
                  <c:v>-23.478083333333334</c:v>
                </c:pt>
                <c:pt idx="14">
                  <c:v>-23.530527777777777</c:v>
                </c:pt>
                <c:pt idx="15">
                  <c:v>-23.579166666666666</c:v>
                </c:pt>
                <c:pt idx="16">
                  <c:v>-23.623972222222221</c:v>
                </c:pt>
                <c:pt idx="17">
                  <c:v>-23.664972222222222</c:v>
                </c:pt>
                <c:pt idx="18">
                  <c:v>-23.702083333333334</c:v>
                </c:pt>
                <c:pt idx="19">
                  <c:v>-23.735361111111111</c:v>
                </c:pt>
                <c:pt idx="20">
                  <c:v>-23.764722222222222</c:v>
                </c:pt>
                <c:pt idx="21">
                  <c:v>-23.790194444444445</c:v>
                </c:pt>
                <c:pt idx="22">
                  <c:v>-23.811722222222222</c:v>
                </c:pt>
                <c:pt idx="23">
                  <c:v>-23.829333333333334</c:v>
                </c:pt>
                <c:pt idx="24">
                  <c:v>-23.842972222222222</c:v>
                </c:pt>
                <c:pt idx="25">
                  <c:v>-23.852666666666668</c:v>
                </c:pt>
                <c:pt idx="26">
                  <c:v>-23.858388888888889</c:v>
                </c:pt>
                <c:pt idx="27">
                  <c:v>-23.860111111111109</c:v>
                </c:pt>
                <c:pt idx="28">
                  <c:v>-23.857861111111109</c:v>
                </c:pt>
                <c:pt idx="29">
                  <c:v>-23.851583333333334</c:v>
                </c:pt>
                <c:pt idx="30">
                  <c:v>-23.841305555555557</c:v>
                </c:pt>
                <c:pt idx="31">
                  <c:v>-23.826999999999998</c:v>
                </c:pt>
                <c:pt idx="32">
                  <c:v>-23.808666666666667</c:v>
                </c:pt>
                <c:pt idx="33">
                  <c:v>-23.786305555555554</c:v>
                </c:pt>
                <c:pt idx="34">
                  <c:v>-23.759944444444443</c:v>
                </c:pt>
                <c:pt idx="35">
                  <c:v>-23.729527777777779</c:v>
                </c:pt>
                <c:pt idx="36">
                  <c:v>-23.695083333333333</c:v>
                </c:pt>
                <c:pt idx="37">
                  <c:v>-23.656638888888889</c:v>
                </c:pt>
                <c:pt idx="38">
                  <c:v>-23.614166666666666</c:v>
                </c:pt>
                <c:pt idx="39">
                  <c:v>-23.567666666666668</c:v>
                </c:pt>
                <c:pt idx="40">
                  <c:v>-23.517138888888891</c:v>
                </c:pt>
                <c:pt idx="41">
                  <c:v>-23.46263888888889</c:v>
                </c:pt>
                <c:pt idx="42">
                  <c:v>-23.40411111111111</c:v>
                </c:pt>
                <c:pt idx="43">
                  <c:v>-23.34161111111111</c:v>
                </c:pt>
                <c:pt idx="44">
                  <c:v>-23.275111111111112</c:v>
                </c:pt>
                <c:pt idx="45">
                  <c:v>-23.204666666666668</c:v>
                </c:pt>
                <c:pt idx="46">
                  <c:v>-23.13025</c:v>
                </c:pt>
                <c:pt idx="47">
                  <c:v>-23.051861111111112</c:v>
                </c:pt>
                <c:pt idx="48">
                  <c:v>-22.969555555555555</c:v>
                </c:pt>
                <c:pt idx="49">
                  <c:v>-22.883305555555555</c:v>
                </c:pt>
                <c:pt idx="50">
                  <c:v>-22.793166666666668</c:v>
                </c:pt>
                <c:pt idx="51">
                  <c:v>-22.699111111111112</c:v>
                </c:pt>
                <c:pt idx="52">
                  <c:v>-22.601166666666668</c:v>
                </c:pt>
                <c:pt idx="53">
                  <c:v>-22.499388888888888</c:v>
                </c:pt>
                <c:pt idx="54">
                  <c:v>-22.393750000000001</c:v>
                </c:pt>
                <c:pt idx="55">
                  <c:v>-22.284277777777778</c:v>
                </c:pt>
                <c:pt idx="56">
                  <c:v>-22.170999999999999</c:v>
                </c:pt>
                <c:pt idx="57">
                  <c:v>-22.053944444444443</c:v>
                </c:pt>
                <c:pt idx="58">
                  <c:v>-21.933138888888887</c:v>
                </c:pt>
                <c:pt idx="59">
                  <c:v>-21.808583333333335</c:v>
                </c:pt>
                <c:pt idx="60">
                  <c:v>-21.680333333333333</c:v>
                </c:pt>
                <c:pt idx="61">
                  <c:v>-21.548416666666668</c:v>
                </c:pt>
                <c:pt idx="62">
                  <c:v>-21.412833333333332</c:v>
                </c:pt>
                <c:pt idx="63">
                  <c:v>-21.27363888888889</c:v>
                </c:pt>
                <c:pt idx="64">
                  <c:v>-21.130861111111113</c:v>
                </c:pt>
                <c:pt idx="65">
                  <c:v>-20.984527777777778</c:v>
                </c:pt>
                <c:pt idx="66">
                  <c:v>-20.834666666666667</c:v>
                </c:pt>
                <c:pt idx="67">
                  <c:v>-20.681305555555557</c:v>
                </c:pt>
                <c:pt idx="68">
                  <c:v>-20.5245</c:v>
                </c:pt>
                <c:pt idx="69">
                  <c:v>-20.364249999999998</c:v>
                </c:pt>
                <c:pt idx="70">
                  <c:v>-20.200638888888889</c:v>
                </c:pt>
                <c:pt idx="71">
                  <c:v>-20.033638888888888</c:v>
                </c:pt>
                <c:pt idx="72">
                  <c:v>-19.863305555555556</c:v>
                </c:pt>
                <c:pt idx="73">
                  <c:v>-19.689722222222223</c:v>
                </c:pt>
                <c:pt idx="74">
                  <c:v>-19.512861111111111</c:v>
                </c:pt>
                <c:pt idx="75">
                  <c:v>-19.332777777777778</c:v>
                </c:pt>
                <c:pt idx="76">
                  <c:v>-19.1495</c:v>
                </c:pt>
                <c:pt idx="77">
                  <c:v>-18.963083333333334</c:v>
                </c:pt>
                <c:pt idx="78">
                  <c:v>-18.773555555555557</c:v>
                </c:pt>
                <c:pt idx="79">
                  <c:v>-18.580944444444444</c:v>
                </c:pt>
                <c:pt idx="80">
                  <c:v>-18.385305555555554</c:v>
                </c:pt>
                <c:pt idx="81">
                  <c:v>-18.186666666666667</c:v>
                </c:pt>
                <c:pt idx="82">
                  <c:v>-17.985055555555554</c:v>
                </c:pt>
                <c:pt idx="83">
                  <c:v>-17.780555555555555</c:v>
                </c:pt>
                <c:pt idx="84">
                  <c:v>-17.573166666666665</c:v>
                </c:pt>
                <c:pt idx="85">
                  <c:v>-17.362944444444445</c:v>
                </c:pt>
                <c:pt idx="86">
                  <c:v>-17.149944444444444</c:v>
                </c:pt>
                <c:pt idx="87">
                  <c:v>-16.934194444444444</c:v>
                </c:pt>
                <c:pt idx="88">
                  <c:v>-16.715777777777777</c:v>
                </c:pt>
                <c:pt idx="89">
                  <c:v>-16.494694444444445</c:v>
                </c:pt>
                <c:pt idx="90">
                  <c:v>-16.271055555555556</c:v>
                </c:pt>
                <c:pt idx="91">
                  <c:v>-16.044861111111111</c:v>
                </c:pt>
                <c:pt idx="92">
                  <c:v>-15.816166666666668</c:v>
                </c:pt>
                <c:pt idx="93">
                  <c:v>-15.585000000000001</c:v>
                </c:pt>
                <c:pt idx="94">
                  <c:v>-15.351472222222222</c:v>
                </c:pt>
                <c:pt idx="95">
                  <c:v>-15.115583333333333</c:v>
                </c:pt>
                <c:pt idx="96">
                  <c:v>-14.877388888888889</c:v>
                </c:pt>
                <c:pt idx="97">
                  <c:v>-14.636944444444444</c:v>
                </c:pt>
                <c:pt idx="98">
                  <c:v>-14.394305555555556</c:v>
                </c:pt>
                <c:pt idx="99">
                  <c:v>-14.149472222222222</c:v>
                </c:pt>
                <c:pt idx="100">
                  <c:v>-13.902555555555555</c:v>
                </c:pt>
                <c:pt idx="101">
                  <c:v>-13.653555555555556</c:v>
                </c:pt>
                <c:pt idx="102">
                  <c:v>-13.402555555555555</c:v>
                </c:pt>
                <c:pt idx="103">
                  <c:v>-13.149555555555555</c:v>
                </c:pt>
                <c:pt idx="104">
                  <c:v>-12.894611111111111</c:v>
                </c:pt>
                <c:pt idx="105">
                  <c:v>-12.637805555555556</c:v>
                </c:pt>
                <c:pt idx="106">
                  <c:v>-12.379166666666666</c:v>
                </c:pt>
                <c:pt idx="107">
                  <c:v>-12.118722222222223</c:v>
                </c:pt>
                <c:pt idx="108">
                  <c:v>-11.856527777777778</c:v>
                </c:pt>
                <c:pt idx="109">
                  <c:v>-11.592611111111111</c:v>
                </c:pt>
                <c:pt idx="110">
                  <c:v>-11.327055555555555</c:v>
                </c:pt>
                <c:pt idx="111">
                  <c:v>-11.059888888888889</c:v>
                </c:pt>
                <c:pt idx="112">
                  <c:v>-10.791194444444445</c:v>
                </c:pt>
                <c:pt idx="113">
                  <c:v>-10.520972222222222</c:v>
                </c:pt>
                <c:pt idx="114">
                  <c:v>-10.249333333333333</c:v>
                </c:pt>
                <c:pt idx="115">
                  <c:v>-9.9762777777777778</c:v>
                </c:pt>
                <c:pt idx="116">
                  <c:v>-9.7018888888888881</c:v>
                </c:pt>
                <c:pt idx="117">
                  <c:v>-9.4262222222222221</c:v>
                </c:pt>
                <c:pt idx="118">
                  <c:v>-9.1493333333333329</c:v>
                </c:pt>
                <c:pt idx="119">
                  <c:v>-8.8712777777777774</c:v>
                </c:pt>
                <c:pt idx="120">
                  <c:v>-8.5921111111111106</c:v>
                </c:pt>
                <c:pt idx="121">
                  <c:v>-8.3118888888888893</c:v>
                </c:pt>
                <c:pt idx="122">
                  <c:v>-8.0306388888888893</c:v>
                </c:pt>
                <c:pt idx="123">
                  <c:v>-7.748444444444444</c:v>
                </c:pt>
                <c:pt idx="124">
                  <c:v>-7.4653333333333336</c:v>
                </c:pt>
                <c:pt idx="125">
                  <c:v>-7.1813611111111113</c:v>
                </c:pt>
                <c:pt idx="126">
                  <c:v>-6.8966111111111115</c:v>
                </c:pt>
                <c:pt idx="127">
                  <c:v>-6.6110833333333332</c:v>
                </c:pt>
                <c:pt idx="128">
                  <c:v>-6.3248611111111108</c:v>
                </c:pt>
                <c:pt idx="129">
                  <c:v>-6.0380000000000003</c:v>
                </c:pt>
                <c:pt idx="130">
                  <c:v>-5.7504999999999997</c:v>
                </c:pt>
                <c:pt idx="131">
                  <c:v>-5.4624444444444444</c:v>
                </c:pt>
                <c:pt idx="132">
                  <c:v>-5.1738888888888885</c:v>
                </c:pt>
                <c:pt idx="133">
                  <c:v>-4.8848333333333329</c:v>
                </c:pt>
                <c:pt idx="134">
                  <c:v>-4.595361111111111</c:v>
                </c:pt>
                <c:pt idx="135">
                  <c:v>-4.3055000000000003</c:v>
                </c:pt>
                <c:pt idx="136">
                  <c:v>-4.0153055555555559</c:v>
                </c:pt>
                <c:pt idx="137">
                  <c:v>-3.7248333333333332</c:v>
                </c:pt>
                <c:pt idx="138">
                  <c:v>-3.4340833333333332</c:v>
                </c:pt>
                <c:pt idx="139">
                  <c:v>-3.1431388888888887</c:v>
                </c:pt>
                <c:pt idx="140">
                  <c:v>-2.8520555555555553</c:v>
                </c:pt>
                <c:pt idx="141">
                  <c:v>-2.560888888888889</c:v>
                </c:pt>
                <c:pt idx="142">
                  <c:v>-2.2696666666666667</c:v>
                </c:pt>
                <c:pt idx="143">
                  <c:v>-1.9784722222222222</c:v>
                </c:pt>
                <c:pt idx="144">
                  <c:v>-1.6873333333333334</c:v>
                </c:pt>
                <c:pt idx="145">
                  <c:v>-1.3963333333333334</c:v>
                </c:pt>
                <c:pt idx="146">
                  <c:v>-1.1054999999999999</c:v>
                </c:pt>
                <c:pt idx="147">
                  <c:v>-0.81488888888888888</c:v>
                </c:pt>
                <c:pt idx="148">
                  <c:v>-0.5245833333333334</c:v>
                </c:pt>
                <c:pt idx="149">
                  <c:v>-0.23458333333333334</c:v>
                </c:pt>
                <c:pt idx="150">
                  <c:v>5.5E-2</c:v>
                </c:pt>
                <c:pt idx="151">
                  <c:v>0.34416666666666662</c:v>
                </c:pt>
                <c:pt idx="152">
                  <c:v>0.63283333333333336</c:v>
                </c:pt>
                <c:pt idx="153">
                  <c:v>0.92099999999999993</c:v>
                </c:pt>
                <c:pt idx="154">
                  <c:v>1.2085555555555556</c:v>
                </c:pt>
                <c:pt idx="155">
                  <c:v>1.4954722222222223</c:v>
                </c:pt>
                <c:pt idx="156">
                  <c:v>1.7817500000000002</c:v>
                </c:pt>
                <c:pt idx="157">
                  <c:v>2.067277777777778</c:v>
                </c:pt>
                <c:pt idx="158">
                  <c:v>2.3520833333333333</c:v>
                </c:pt>
                <c:pt idx="159">
                  <c:v>2.6360555555555556</c:v>
                </c:pt>
                <c:pt idx="160">
                  <c:v>2.9191944444444444</c:v>
                </c:pt>
                <c:pt idx="161">
                  <c:v>3.2014722222222223</c:v>
                </c:pt>
                <c:pt idx="162">
                  <c:v>3.4828055555555557</c:v>
                </c:pt>
                <c:pt idx="163">
                  <c:v>3.7631944444444443</c:v>
                </c:pt>
                <c:pt idx="164">
                  <c:v>4.0426111111111114</c:v>
                </c:pt>
                <c:pt idx="165">
                  <c:v>4.3209722222222222</c:v>
                </c:pt>
                <c:pt idx="166">
                  <c:v>4.5982777777777777</c:v>
                </c:pt>
                <c:pt idx="167">
                  <c:v>4.8744722222222219</c:v>
                </c:pt>
                <c:pt idx="168">
                  <c:v>5.1494999999999997</c:v>
                </c:pt>
                <c:pt idx="169">
                  <c:v>5.4233055555555554</c:v>
                </c:pt>
                <c:pt idx="170">
                  <c:v>5.6958888888888888</c:v>
                </c:pt>
                <c:pt idx="171">
                  <c:v>5.9671666666666665</c:v>
                </c:pt>
                <c:pt idx="172">
                  <c:v>6.2371111111111111</c:v>
                </c:pt>
                <c:pt idx="173">
                  <c:v>6.5056666666666665</c:v>
                </c:pt>
                <c:pt idx="174">
                  <c:v>6.7727777777777778</c:v>
                </c:pt>
                <c:pt idx="175">
                  <c:v>7.0384166666666665</c:v>
                </c:pt>
                <c:pt idx="176">
                  <c:v>7.3025277777777777</c:v>
                </c:pt>
                <c:pt idx="177">
                  <c:v>7.5650555555555554</c:v>
                </c:pt>
                <c:pt idx="178">
                  <c:v>7.8259722222222221</c:v>
                </c:pt>
                <c:pt idx="179">
                  <c:v>8.0852222222222228</c:v>
                </c:pt>
                <c:pt idx="180">
                  <c:v>8.3428055555555556</c:v>
                </c:pt>
                <c:pt idx="181">
                  <c:v>8.5986388888888889</c:v>
                </c:pt>
                <c:pt idx="182">
                  <c:v>8.8527222222222228</c:v>
                </c:pt>
                <c:pt idx="183">
                  <c:v>9.1049722222222229</c:v>
                </c:pt>
                <c:pt idx="184">
                  <c:v>9.3553888888888892</c:v>
                </c:pt>
                <c:pt idx="185">
                  <c:v>9.6039444444444442</c:v>
                </c:pt>
                <c:pt idx="186">
                  <c:v>9.8505833333333328</c:v>
                </c:pt>
                <c:pt idx="187">
                  <c:v>10.095305555555555</c:v>
                </c:pt>
                <c:pt idx="188">
                  <c:v>10.338055555555556</c:v>
                </c:pt>
                <c:pt idx="189">
                  <c:v>10.578833333333334</c:v>
                </c:pt>
                <c:pt idx="190">
                  <c:v>10.817583333333333</c:v>
                </c:pt>
                <c:pt idx="191">
                  <c:v>11.054305555555555</c:v>
                </c:pt>
                <c:pt idx="192">
                  <c:v>11.288944444444445</c:v>
                </c:pt>
                <c:pt idx="193">
                  <c:v>11.521527777777777</c:v>
                </c:pt>
                <c:pt idx="194">
                  <c:v>11.752000000000001</c:v>
                </c:pt>
                <c:pt idx="195">
                  <c:v>11.980333333333334</c:v>
                </c:pt>
                <c:pt idx="196">
                  <c:v>12.2065</c:v>
                </c:pt>
                <c:pt idx="197">
                  <c:v>12.4305</c:v>
                </c:pt>
                <c:pt idx="198">
                  <c:v>12.65225</c:v>
                </c:pt>
                <c:pt idx="199">
                  <c:v>12.871777777777778</c:v>
                </c:pt>
                <c:pt idx="200">
                  <c:v>13.089</c:v>
                </c:pt>
                <c:pt idx="201">
                  <c:v>13.303916666666666</c:v>
                </c:pt>
                <c:pt idx="202">
                  <c:v>13.516500000000001</c:v>
                </c:pt>
                <c:pt idx="203">
                  <c:v>13.726694444444444</c:v>
                </c:pt>
                <c:pt idx="204">
                  <c:v>13.934527777777777</c:v>
                </c:pt>
                <c:pt idx="205">
                  <c:v>14.139916666666666</c:v>
                </c:pt>
                <c:pt idx="206">
                  <c:v>14.342861111111111</c:v>
                </c:pt>
                <c:pt idx="207">
                  <c:v>14.543333333333333</c:v>
                </c:pt>
                <c:pt idx="208">
                  <c:v>14.741333333333333</c:v>
                </c:pt>
                <c:pt idx="209">
                  <c:v>14.936833333333333</c:v>
                </c:pt>
                <c:pt idx="210">
                  <c:v>15.129805555555556</c:v>
                </c:pt>
                <c:pt idx="211">
                  <c:v>15.32025</c:v>
                </c:pt>
                <c:pt idx="212">
                  <c:v>15.508138888888888</c:v>
                </c:pt>
                <c:pt idx="213">
                  <c:v>15.693472222222223</c:v>
                </c:pt>
                <c:pt idx="214">
                  <c:v>15.876250000000001</c:v>
                </c:pt>
                <c:pt idx="215">
                  <c:v>16.056444444444445</c:v>
                </c:pt>
                <c:pt idx="216">
                  <c:v>16.234055555555557</c:v>
                </c:pt>
                <c:pt idx="217">
                  <c:v>16.409083333333335</c:v>
                </c:pt>
                <c:pt idx="218">
                  <c:v>16.581555555555557</c:v>
                </c:pt>
                <c:pt idx="219">
                  <c:v>16.751416666666668</c:v>
                </c:pt>
                <c:pt idx="220">
                  <c:v>16.918722222222222</c:v>
                </c:pt>
                <c:pt idx="221">
                  <c:v>17.083444444444446</c:v>
                </c:pt>
                <c:pt idx="222">
                  <c:v>17.245583333333332</c:v>
                </c:pt>
                <c:pt idx="223">
                  <c:v>17.405166666666666</c:v>
                </c:pt>
                <c:pt idx="224">
                  <c:v>17.562166666666666</c:v>
                </c:pt>
                <c:pt idx="225">
                  <c:v>17.71661111111111</c:v>
                </c:pt>
                <c:pt idx="226">
                  <c:v>17.868472222222223</c:v>
                </c:pt>
                <c:pt idx="227">
                  <c:v>18.017722222222222</c:v>
                </c:pt>
                <c:pt idx="228">
                  <c:v>18.164416666666668</c:v>
                </c:pt>
                <c:pt idx="229">
                  <c:v>18.308555555555557</c:v>
                </c:pt>
                <c:pt idx="230">
                  <c:v>18.450083333333332</c:v>
                </c:pt>
                <c:pt idx="231">
                  <c:v>18.589055555555557</c:v>
                </c:pt>
                <c:pt idx="232">
                  <c:v>18.725444444444445</c:v>
                </c:pt>
                <c:pt idx="233">
                  <c:v>18.859249999999999</c:v>
                </c:pt>
                <c:pt idx="234">
                  <c:v>18.990527777777778</c:v>
                </c:pt>
                <c:pt idx="235">
                  <c:v>19.119250000000001</c:v>
                </c:pt>
                <c:pt idx="236">
                  <c:v>19.245444444444445</c:v>
                </c:pt>
                <c:pt idx="237">
                  <c:v>19.36911111111111</c:v>
                </c:pt>
                <c:pt idx="238">
                  <c:v>19.490277777777777</c:v>
                </c:pt>
                <c:pt idx="239">
                  <c:v>19.608972222222221</c:v>
                </c:pt>
                <c:pt idx="240">
                  <c:v>19.725194444444444</c:v>
                </c:pt>
                <c:pt idx="241">
                  <c:v>19.838972222222221</c:v>
                </c:pt>
                <c:pt idx="242">
                  <c:v>19.950333333333333</c:v>
                </c:pt>
                <c:pt idx="243">
                  <c:v>20.059305555555557</c:v>
                </c:pt>
                <c:pt idx="244">
                  <c:v>20.165944444444445</c:v>
                </c:pt>
                <c:pt idx="245">
                  <c:v>20.270250000000001</c:v>
                </c:pt>
                <c:pt idx="246">
                  <c:v>20.372250000000001</c:v>
                </c:pt>
                <c:pt idx="247">
                  <c:v>20.472000000000001</c:v>
                </c:pt>
                <c:pt idx="248">
                  <c:v>20.569555555555556</c:v>
                </c:pt>
                <c:pt idx="249">
                  <c:v>20.664916666666667</c:v>
                </c:pt>
                <c:pt idx="250">
                  <c:v>20.758111111111113</c:v>
                </c:pt>
                <c:pt idx="251">
                  <c:v>20.849222222222224</c:v>
                </c:pt>
                <c:pt idx="252">
                  <c:v>20.93825</c:v>
                </c:pt>
                <c:pt idx="253">
                  <c:v>21.02525</c:v>
                </c:pt>
                <c:pt idx="254">
                  <c:v>21.110250000000001</c:v>
                </c:pt>
                <c:pt idx="255">
                  <c:v>21.193277777777777</c:v>
                </c:pt>
                <c:pt idx="256">
                  <c:v>21.274361111111112</c:v>
                </c:pt>
                <c:pt idx="257">
                  <c:v>21.353555555555555</c:v>
                </c:pt>
                <c:pt idx="258">
                  <c:v>21.430916666666668</c:v>
                </c:pt>
                <c:pt idx="259">
                  <c:v>21.506444444444444</c:v>
                </c:pt>
                <c:pt idx="260">
                  <c:v>21.580194444444444</c:v>
                </c:pt>
                <c:pt idx="261">
                  <c:v>21.652222222222221</c:v>
                </c:pt>
                <c:pt idx="262">
                  <c:v>21.722555555555555</c:v>
                </c:pt>
                <c:pt idx="263">
                  <c:v>21.791250000000002</c:v>
                </c:pt>
                <c:pt idx="264">
                  <c:v>21.858361111111112</c:v>
                </c:pt>
                <c:pt idx="265">
                  <c:v>21.923944444444444</c:v>
                </c:pt>
                <c:pt idx="266">
                  <c:v>21.988027777777777</c:v>
                </c:pt>
                <c:pt idx="267">
                  <c:v>22.050666666666668</c:v>
                </c:pt>
                <c:pt idx="268">
                  <c:v>22.111916666666666</c:v>
                </c:pt>
                <c:pt idx="269">
                  <c:v>22.171861111111109</c:v>
                </c:pt>
                <c:pt idx="270">
                  <c:v>22.230555555555554</c:v>
                </c:pt>
                <c:pt idx="271">
                  <c:v>22.288</c:v>
                </c:pt>
                <c:pt idx="272">
                  <c:v>22.344333333333335</c:v>
                </c:pt>
                <c:pt idx="273">
                  <c:v>22.399583333333332</c:v>
                </c:pt>
                <c:pt idx="274">
                  <c:v>22.453777777777777</c:v>
                </c:pt>
                <c:pt idx="275">
                  <c:v>22.507027777777779</c:v>
                </c:pt>
                <c:pt idx="276">
                  <c:v>22.55938888888889</c:v>
                </c:pt>
                <c:pt idx="277">
                  <c:v>22.610916666666668</c:v>
                </c:pt>
                <c:pt idx="278">
                  <c:v>22.661638888888888</c:v>
                </c:pt>
                <c:pt idx="279">
                  <c:v>22.711638888888888</c:v>
                </c:pt>
                <c:pt idx="280">
                  <c:v>22.760999999999999</c:v>
                </c:pt>
                <c:pt idx="281">
                  <c:v>22.809722222222224</c:v>
                </c:pt>
                <c:pt idx="282">
                  <c:v>22.85788888888889</c:v>
                </c:pt>
                <c:pt idx="283">
                  <c:v>22.905527777777777</c:v>
                </c:pt>
                <c:pt idx="284">
                  <c:v>22.952722222222221</c:v>
                </c:pt>
                <c:pt idx="285">
                  <c:v>22.999500000000001</c:v>
                </c:pt>
                <c:pt idx="286">
                  <c:v>23.045916666666667</c:v>
                </c:pt>
                <c:pt idx="287">
                  <c:v>23.091999999999999</c:v>
                </c:pt>
                <c:pt idx="288">
                  <c:v>23.137833333333333</c:v>
                </c:pt>
                <c:pt idx="289">
                  <c:v>23.183416666666666</c:v>
                </c:pt>
                <c:pt idx="290">
                  <c:v>23.228805555555557</c:v>
                </c:pt>
                <c:pt idx="291">
                  <c:v>23.274027777777778</c:v>
                </c:pt>
                <c:pt idx="292">
                  <c:v>23.319166666666668</c:v>
                </c:pt>
                <c:pt idx="293">
                  <c:v>23.364194444444443</c:v>
                </c:pt>
                <c:pt idx="294">
                  <c:v>23.409194444444445</c:v>
                </c:pt>
                <c:pt idx="295">
                  <c:v>23.454166666666666</c:v>
                </c:pt>
                <c:pt idx="296">
                  <c:v>23.49913888888889</c:v>
                </c:pt>
                <c:pt idx="297">
                  <c:v>23.544138888888888</c:v>
                </c:pt>
                <c:pt idx="298">
                  <c:v>23.589166666666667</c:v>
                </c:pt>
                <c:pt idx="299">
                  <c:v>23.634277777777779</c:v>
                </c:pt>
                <c:pt idx="300">
                  <c:v>23.679444444444446</c:v>
                </c:pt>
                <c:pt idx="301">
                  <c:v>23.724694444444445</c:v>
                </c:pt>
                <c:pt idx="302">
                  <c:v>23.77</c:v>
                </c:pt>
                <c:pt idx="303">
                  <c:v>23.81538888888889</c:v>
                </c:pt>
                <c:pt idx="304">
                  <c:v>23.860833333333332</c:v>
                </c:pt>
                <c:pt idx="305">
                  <c:v>23.906305555555555</c:v>
                </c:pt>
                <c:pt idx="306">
                  <c:v>23.951777777777778</c:v>
                </c:pt>
                <c:pt idx="307">
                  <c:v>23.997250000000001</c:v>
                </c:pt>
                <c:pt idx="308">
                  <c:v>24.04261111111111</c:v>
                </c:pt>
                <c:pt idx="309">
                  <c:v>24.08786111111111</c:v>
                </c:pt>
                <c:pt idx="310">
                  <c:v>24.132944444444444</c:v>
                </c:pt>
                <c:pt idx="311">
                  <c:v>24.177777777777777</c:v>
                </c:pt>
                <c:pt idx="312">
                  <c:v>24.222305555555554</c:v>
                </c:pt>
                <c:pt idx="313">
                  <c:v>24.266444444444446</c:v>
                </c:pt>
                <c:pt idx="314">
                  <c:v>24.310083333333335</c:v>
                </c:pt>
                <c:pt idx="315">
                  <c:v>24.353194444444444</c:v>
                </c:pt>
                <c:pt idx="316">
                  <c:v>24.395611111111112</c:v>
                </c:pt>
                <c:pt idx="317">
                  <c:v>24.437305555555554</c:v>
                </c:pt>
                <c:pt idx="318">
                  <c:v>24.478111111111112</c:v>
                </c:pt>
                <c:pt idx="319">
                  <c:v>24.517972222222223</c:v>
                </c:pt>
                <c:pt idx="320">
                  <c:v>24.556750000000001</c:v>
                </c:pt>
                <c:pt idx="321">
                  <c:v>24.594361111111112</c:v>
                </c:pt>
                <c:pt idx="322">
                  <c:v>24.630666666666666</c:v>
                </c:pt>
                <c:pt idx="323">
                  <c:v>24.665555555555557</c:v>
                </c:pt>
                <c:pt idx="324">
                  <c:v>24.698916666666666</c:v>
                </c:pt>
                <c:pt idx="325">
                  <c:v>24.730694444444445</c:v>
                </c:pt>
                <c:pt idx="326">
                  <c:v>24.760722222222221</c:v>
                </c:pt>
                <c:pt idx="327">
                  <c:v>24.788944444444443</c:v>
                </c:pt>
                <c:pt idx="328">
                  <c:v>24.815249999999999</c:v>
                </c:pt>
                <c:pt idx="329">
                  <c:v>24.839583333333334</c:v>
                </c:pt>
                <c:pt idx="330">
                  <c:v>24.861861111111111</c:v>
                </c:pt>
                <c:pt idx="331">
                  <c:v>24.882000000000001</c:v>
                </c:pt>
                <c:pt idx="332">
                  <c:v>24.899944444444444</c:v>
                </c:pt>
                <c:pt idx="333">
                  <c:v>24.915666666666667</c:v>
                </c:pt>
                <c:pt idx="334">
                  <c:v>24.92913888888889</c:v>
                </c:pt>
                <c:pt idx="335">
                  <c:v>24.940305555555554</c:v>
                </c:pt>
                <c:pt idx="336">
                  <c:v>24.949194444444444</c:v>
                </c:pt>
                <c:pt idx="337">
                  <c:v>24.955749999999998</c:v>
                </c:pt>
                <c:pt idx="338">
                  <c:v>24.960027777777778</c:v>
                </c:pt>
                <c:pt idx="339">
                  <c:v>24.962027777777777</c:v>
                </c:pt>
                <c:pt idx="340">
                  <c:v>24.961777777777776</c:v>
                </c:pt>
                <c:pt idx="341">
                  <c:v>24.959333333333333</c:v>
                </c:pt>
                <c:pt idx="342">
                  <c:v>24.954777777777778</c:v>
                </c:pt>
                <c:pt idx="343">
                  <c:v>24.948138888888888</c:v>
                </c:pt>
                <c:pt idx="344">
                  <c:v>24.939527777777776</c:v>
                </c:pt>
                <c:pt idx="345">
                  <c:v>24.929027777777776</c:v>
                </c:pt>
                <c:pt idx="346">
                  <c:v>24.916777777777778</c:v>
                </c:pt>
                <c:pt idx="347">
                  <c:v>24.902833333333334</c:v>
                </c:pt>
                <c:pt idx="348">
                  <c:v>24.887388888888889</c:v>
                </c:pt>
                <c:pt idx="349">
                  <c:v>24.870555555555555</c:v>
                </c:pt>
                <c:pt idx="350">
                  <c:v>24.852444444444444</c:v>
                </c:pt>
                <c:pt idx="351">
                  <c:v>24.833222222222222</c:v>
                </c:pt>
                <c:pt idx="352">
                  <c:v>24.813083333333335</c:v>
                </c:pt>
                <c:pt idx="353">
                  <c:v>24.792111111111112</c:v>
                </c:pt>
                <c:pt idx="354">
                  <c:v>24.770527777777779</c:v>
                </c:pt>
                <c:pt idx="355">
                  <c:v>24.748444444444445</c:v>
                </c:pt>
                <c:pt idx="356">
                  <c:v>24.726083333333332</c:v>
                </c:pt>
                <c:pt idx="357">
                  <c:v>24.703555555555557</c:v>
                </c:pt>
                <c:pt idx="358">
                  <c:v>24.681027777777778</c:v>
                </c:pt>
                <c:pt idx="359">
                  <c:v>24.658694444444443</c:v>
                </c:pt>
                <c:pt idx="360">
                  <c:v>24.636666666666667</c:v>
                </c:pt>
                <c:pt idx="361">
                  <c:v>24.615055555555557</c:v>
                </c:pt>
                <c:pt idx="362">
                  <c:v>24.594055555555556</c:v>
                </c:pt>
                <c:pt idx="363">
                  <c:v>24.573722222222223</c:v>
                </c:pt>
                <c:pt idx="364">
                  <c:v>24.554222222222222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9-4551-8B18-7ABA69D89F31}"/>
            </c:ext>
          </c:extLst>
        </c:ser>
        <c:ser>
          <c:idx val="1"/>
          <c:order val="1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Pályák!$Q$3:$Q$367</c:f>
              <c:numCache>
                <c:formatCode>General</c:formatCode>
                <c:ptCount val="365"/>
                <c:pt idx="0">
                  <c:v>-18.631972222222224</c:v>
                </c:pt>
                <c:pt idx="1">
                  <c:v>-18.456416666666666</c:v>
                </c:pt>
                <c:pt idx="2">
                  <c:v>-18.285166666666669</c:v>
                </c:pt>
                <c:pt idx="3">
                  <c:v>-18.118527777777778</c:v>
                </c:pt>
                <c:pt idx="4">
                  <c:v>-17.956805555555555</c:v>
                </c:pt>
                <c:pt idx="5">
                  <c:v>-17.800305555555557</c:v>
                </c:pt>
                <c:pt idx="6">
                  <c:v>-17.649416666666667</c:v>
                </c:pt>
                <c:pt idx="7">
                  <c:v>-17.504472222222223</c:v>
                </c:pt>
                <c:pt idx="8">
                  <c:v>-17.365805555555557</c:v>
                </c:pt>
                <c:pt idx="9">
                  <c:v>-17.233777777777778</c:v>
                </c:pt>
                <c:pt idx="10">
                  <c:v>-17.108694444444446</c:v>
                </c:pt>
                <c:pt idx="11">
                  <c:v>-16.99088888888889</c:v>
                </c:pt>
                <c:pt idx="12">
                  <c:v>-16.880666666666666</c:v>
                </c:pt>
                <c:pt idx="13">
                  <c:v>-16.778277777777777</c:v>
                </c:pt>
                <c:pt idx="14">
                  <c:v>-16.683888888888887</c:v>
                </c:pt>
                <c:pt idx="15">
                  <c:v>-16.59772222222222</c:v>
                </c:pt>
                <c:pt idx="16">
                  <c:v>-16.51988888888889</c:v>
                </c:pt>
                <c:pt idx="17">
                  <c:v>-16.450472222222221</c:v>
                </c:pt>
                <c:pt idx="18">
                  <c:v>-16.389444444444443</c:v>
                </c:pt>
                <c:pt idx="19">
                  <c:v>-16.336777777777776</c:v>
                </c:pt>
                <c:pt idx="20">
                  <c:v>-16.29238888888889</c:v>
                </c:pt>
                <c:pt idx="21">
                  <c:v>-16.256083333333333</c:v>
                </c:pt>
                <c:pt idx="22">
                  <c:v>-16.227694444444442</c:v>
                </c:pt>
                <c:pt idx="23">
                  <c:v>-16.206916666666665</c:v>
                </c:pt>
                <c:pt idx="24">
                  <c:v>-16.193472222222223</c:v>
                </c:pt>
                <c:pt idx="25">
                  <c:v>-16.187027777777779</c:v>
                </c:pt>
                <c:pt idx="26">
                  <c:v>-16.187166666666666</c:v>
                </c:pt>
                <c:pt idx="27">
                  <c:v>-16.193472222222223</c:v>
                </c:pt>
                <c:pt idx="28">
                  <c:v>-16.205527777777778</c:v>
                </c:pt>
                <c:pt idx="29">
                  <c:v>-16.222861111111108</c:v>
                </c:pt>
                <c:pt idx="30">
                  <c:v>-16.245027777777779</c:v>
                </c:pt>
                <c:pt idx="31">
                  <c:v>-16.271555555555555</c:v>
                </c:pt>
                <c:pt idx="32">
                  <c:v>-16.301916666666667</c:v>
                </c:pt>
                <c:pt idx="33">
                  <c:v>-16.335638888888887</c:v>
                </c:pt>
                <c:pt idx="34">
                  <c:v>-16.372250000000001</c:v>
                </c:pt>
                <c:pt idx="35">
                  <c:v>-16.411277777777777</c:v>
                </c:pt>
                <c:pt idx="36">
                  <c:v>-16.452194444444444</c:v>
                </c:pt>
                <c:pt idx="37">
                  <c:v>-16.494555555555557</c:v>
                </c:pt>
                <c:pt idx="38">
                  <c:v>-16.537861111111113</c:v>
                </c:pt>
                <c:pt idx="39">
                  <c:v>-16.581638888888889</c:v>
                </c:pt>
                <c:pt idx="40">
                  <c:v>-16.625444444444444</c:v>
                </c:pt>
                <c:pt idx="41">
                  <c:v>-16.668805555555558</c:v>
                </c:pt>
                <c:pt idx="42">
                  <c:v>-16.711277777777777</c:v>
                </c:pt>
                <c:pt idx="43">
                  <c:v>-16.752472222222224</c:v>
                </c:pt>
                <c:pt idx="44">
                  <c:v>-16.791916666666669</c:v>
                </c:pt>
                <c:pt idx="45">
                  <c:v>-16.829222222222221</c:v>
                </c:pt>
                <c:pt idx="46">
                  <c:v>-16.864000000000001</c:v>
                </c:pt>
                <c:pt idx="47">
                  <c:v>-16.89586111111111</c:v>
                </c:pt>
                <c:pt idx="48">
                  <c:v>-16.924444444444447</c:v>
                </c:pt>
                <c:pt idx="49">
                  <c:v>-16.94938888888889</c:v>
                </c:pt>
                <c:pt idx="50">
                  <c:v>-16.970388888888888</c:v>
                </c:pt>
                <c:pt idx="51">
                  <c:v>-16.987055555555557</c:v>
                </c:pt>
                <c:pt idx="52">
                  <c:v>-16.99913888888889</c:v>
                </c:pt>
                <c:pt idx="53">
                  <c:v>-17.006333333333334</c:v>
                </c:pt>
                <c:pt idx="54">
                  <c:v>-17.008333333333333</c:v>
                </c:pt>
                <c:pt idx="55">
                  <c:v>-17.004916666666666</c:v>
                </c:pt>
                <c:pt idx="56">
                  <c:v>-16.995833333333334</c:v>
                </c:pt>
                <c:pt idx="57">
                  <c:v>-16.980861111111111</c:v>
                </c:pt>
                <c:pt idx="58">
                  <c:v>-16.959777777777777</c:v>
                </c:pt>
                <c:pt idx="59">
                  <c:v>-16.932388888888891</c:v>
                </c:pt>
                <c:pt idx="60">
                  <c:v>-16.898527777777776</c:v>
                </c:pt>
                <c:pt idx="61">
                  <c:v>-16.858055555555556</c:v>
                </c:pt>
                <c:pt idx="62">
                  <c:v>-16.81077777777778</c:v>
                </c:pt>
                <c:pt idx="63">
                  <c:v>-16.756583333333332</c:v>
                </c:pt>
                <c:pt idx="64">
                  <c:v>-16.695333333333334</c:v>
                </c:pt>
                <c:pt idx="65">
                  <c:v>-16.626944444444444</c:v>
                </c:pt>
                <c:pt idx="66">
                  <c:v>-16.551277777777777</c:v>
                </c:pt>
                <c:pt idx="67">
                  <c:v>-16.46822222222222</c:v>
                </c:pt>
                <c:pt idx="68">
                  <c:v>-16.377749999999999</c:v>
                </c:pt>
                <c:pt idx="69">
                  <c:v>-16.27975</c:v>
                </c:pt>
                <c:pt idx="70">
                  <c:v>-16.174138888888891</c:v>
                </c:pt>
                <c:pt idx="71">
                  <c:v>-16.06088888888889</c:v>
                </c:pt>
                <c:pt idx="72">
                  <c:v>-15.939916666666667</c:v>
                </c:pt>
                <c:pt idx="73">
                  <c:v>-15.811250000000001</c:v>
                </c:pt>
                <c:pt idx="74">
                  <c:v>-15.674777777777777</c:v>
                </c:pt>
                <c:pt idx="75">
                  <c:v>-15.530527777777779</c:v>
                </c:pt>
                <c:pt idx="76">
                  <c:v>-15.378472222222223</c:v>
                </c:pt>
                <c:pt idx="77">
                  <c:v>-15.218611111111111</c:v>
                </c:pt>
                <c:pt idx="78">
                  <c:v>-15.050944444444445</c:v>
                </c:pt>
                <c:pt idx="79">
                  <c:v>-14.875500000000001</c:v>
                </c:pt>
                <c:pt idx="80">
                  <c:v>-14.69225</c:v>
                </c:pt>
                <c:pt idx="81">
                  <c:v>-14.501277777777778</c:v>
                </c:pt>
                <c:pt idx="82">
                  <c:v>-14.302611111111112</c:v>
                </c:pt>
                <c:pt idx="83">
                  <c:v>-14.096277777777779</c:v>
                </c:pt>
                <c:pt idx="84">
                  <c:v>-13.882361111111111</c:v>
                </c:pt>
                <c:pt idx="85">
                  <c:v>-13.660944444444445</c:v>
                </c:pt>
                <c:pt idx="86">
                  <c:v>-13.432083333333333</c:v>
                </c:pt>
                <c:pt idx="87">
                  <c:v>-13.19588888888889</c:v>
                </c:pt>
                <c:pt idx="88">
                  <c:v>-12.952416666666666</c:v>
                </c:pt>
                <c:pt idx="89">
                  <c:v>-12.701805555555556</c:v>
                </c:pt>
                <c:pt idx="90">
                  <c:v>-12.444138888888888</c:v>
                </c:pt>
                <c:pt idx="91">
                  <c:v>-12.179555555555554</c:v>
                </c:pt>
                <c:pt idx="92">
                  <c:v>-11.908111111111111</c:v>
                </c:pt>
                <c:pt idx="93">
                  <c:v>-11.629972222222223</c:v>
                </c:pt>
                <c:pt idx="94">
                  <c:v>-11.34525</c:v>
                </c:pt>
                <c:pt idx="95">
                  <c:v>-11.054055555555557</c:v>
                </c:pt>
                <c:pt idx="96">
                  <c:v>-10.756500000000001</c:v>
                </c:pt>
                <c:pt idx="97">
                  <c:v>-10.45275</c:v>
                </c:pt>
                <c:pt idx="98">
                  <c:v>-10.142916666666666</c:v>
                </c:pt>
                <c:pt idx="99">
                  <c:v>-9.82711111111111</c:v>
                </c:pt>
                <c:pt idx="100">
                  <c:v>-9.5054999999999996</c:v>
                </c:pt>
                <c:pt idx="101">
                  <c:v>-9.1781944444444434</c:v>
                </c:pt>
                <c:pt idx="102">
                  <c:v>-8.8453333333333344</c:v>
                </c:pt>
                <c:pt idx="103">
                  <c:v>-8.507083333333334</c:v>
                </c:pt>
                <c:pt idx="104">
                  <c:v>-8.1635555555555559</c:v>
                </c:pt>
                <c:pt idx="105">
                  <c:v>-7.8149166666666661</c:v>
                </c:pt>
                <c:pt idx="106">
                  <c:v>-7.4612777777777781</c:v>
                </c:pt>
                <c:pt idx="107">
                  <c:v>-7.1028333333333329</c:v>
                </c:pt>
                <c:pt idx="108">
                  <c:v>-6.7396944444444449</c:v>
                </c:pt>
                <c:pt idx="109">
                  <c:v>-6.3720277777777774</c:v>
                </c:pt>
                <c:pt idx="110">
                  <c:v>-6</c:v>
                </c:pt>
                <c:pt idx="111">
                  <c:v>-5.6237500000000002</c:v>
                </c:pt>
                <c:pt idx="112">
                  <c:v>-5.2434722222222225</c:v>
                </c:pt>
                <c:pt idx="113">
                  <c:v>-4.8593055555555553</c:v>
                </c:pt>
                <c:pt idx="114">
                  <c:v>-4.4714444444444448</c:v>
                </c:pt>
                <c:pt idx="115">
                  <c:v>-4.0800833333333335</c:v>
                </c:pt>
                <c:pt idx="116">
                  <c:v>-3.6853611111111113</c:v>
                </c:pt>
                <c:pt idx="117">
                  <c:v>-3.2874444444444442</c:v>
                </c:pt>
                <c:pt idx="118">
                  <c:v>-2.8865833333333333</c:v>
                </c:pt>
                <c:pt idx="119">
                  <c:v>-2.4828888888888891</c:v>
                </c:pt>
                <c:pt idx="120">
                  <c:v>-2.0765833333333337</c:v>
                </c:pt>
                <c:pt idx="121">
                  <c:v>-1.6678055555555553</c:v>
                </c:pt>
                <c:pt idx="122">
                  <c:v>-1.2567777777777778</c:v>
                </c:pt>
                <c:pt idx="123">
                  <c:v>-0.84363888888888894</c:v>
                </c:pt>
                <c:pt idx="124">
                  <c:v>-0.42861111111111111</c:v>
                </c:pt>
                <c:pt idx="125">
                  <c:v>-1.1833333333333335E-2</c:v>
                </c:pt>
                <c:pt idx="126">
                  <c:v>0.40652777777777782</c:v>
                </c:pt>
                <c:pt idx="127">
                  <c:v>0.82624999999999993</c:v>
                </c:pt>
                <c:pt idx="128">
                  <c:v>1.2471944444444445</c:v>
                </c:pt>
                <c:pt idx="129">
                  <c:v>1.6691666666666665</c:v>
                </c:pt>
                <c:pt idx="130">
                  <c:v>2.0920000000000001</c:v>
                </c:pt>
                <c:pt idx="131">
                  <c:v>2.5155277777777778</c:v>
                </c:pt>
                <c:pt idx="132">
                  <c:v>2.9395555555555557</c:v>
                </c:pt>
                <c:pt idx="133">
                  <c:v>3.3639166666666669</c:v>
                </c:pt>
                <c:pt idx="134">
                  <c:v>3.7884444444444445</c:v>
                </c:pt>
                <c:pt idx="135">
                  <c:v>4.2129722222222226</c:v>
                </c:pt>
                <c:pt idx="136">
                  <c:v>4.6373055555555549</c:v>
                </c:pt>
                <c:pt idx="137">
                  <c:v>5.0613055555555553</c:v>
                </c:pt>
                <c:pt idx="138">
                  <c:v>5.4847222222222225</c:v>
                </c:pt>
                <c:pt idx="139">
                  <c:v>5.9074444444444447</c:v>
                </c:pt>
                <c:pt idx="140">
                  <c:v>6.32925</c:v>
                </c:pt>
                <c:pt idx="141">
                  <c:v>6.7499722222222225</c:v>
                </c:pt>
                <c:pt idx="142">
                  <c:v>7.1694166666666668</c:v>
                </c:pt>
                <c:pt idx="143">
                  <c:v>7.587361111111111</c:v>
                </c:pt>
                <c:pt idx="144">
                  <c:v>8.0036388888888883</c:v>
                </c:pt>
                <c:pt idx="145">
                  <c:v>8.4180555555555543</c:v>
                </c:pt>
                <c:pt idx="146">
                  <c:v>8.8304166666666664</c:v>
                </c:pt>
                <c:pt idx="147">
                  <c:v>9.2405277777777766</c:v>
                </c:pt>
                <c:pt idx="148">
                  <c:v>9.6481944444444441</c:v>
                </c:pt>
                <c:pt idx="149">
                  <c:v>10.053194444444445</c:v>
                </c:pt>
                <c:pt idx="150">
                  <c:v>10.45536111111111</c:v>
                </c:pt>
                <c:pt idx="151">
                  <c:v>10.854527777777777</c:v>
                </c:pt>
                <c:pt idx="152">
                  <c:v>11.250444444444444</c:v>
                </c:pt>
                <c:pt idx="153">
                  <c:v>11.642944444444444</c:v>
                </c:pt>
                <c:pt idx="154">
                  <c:v>12.031833333333335</c:v>
                </c:pt>
                <c:pt idx="155">
                  <c:v>12.416916666666665</c:v>
                </c:pt>
                <c:pt idx="156">
                  <c:v>12.798</c:v>
                </c:pt>
                <c:pt idx="157">
                  <c:v>13.174916666666666</c:v>
                </c:pt>
                <c:pt idx="158">
                  <c:v>13.547444444444444</c:v>
                </c:pt>
                <c:pt idx="159">
                  <c:v>13.91538888888889</c:v>
                </c:pt>
                <c:pt idx="160">
                  <c:v>14.278611111111111</c:v>
                </c:pt>
                <c:pt idx="161">
                  <c:v>14.636861111111111</c:v>
                </c:pt>
                <c:pt idx="162">
                  <c:v>14.989999999999998</c:v>
                </c:pt>
                <c:pt idx="163">
                  <c:v>15.337805555555557</c:v>
                </c:pt>
                <c:pt idx="164">
                  <c:v>15.68011111111111</c:v>
                </c:pt>
                <c:pt idx="165">
                  <c:v>16.016722222222221</c:v>
                </c:pt>
                <c:pt idx="166">
                  <c:v>16.347472222222223</c:v>
                </c:pt>
                <c:pt idx="167">
                  <c:v>16.672138888888892</c:v>
                </c:pt>
                <c:pt idx="168">
                  <c:v>16.990555555555556</c:v>
                </c:pt>
                <c:pt idx="169">
                  <c:v>17.30252777777778</c:v>
                </c:pt>
                <c:pt idx="170">
                  <c:v>17.607833333333335</c:v>
                </c:pt>
                <c:pt idx="171">
                  <c:v>17.906333333333333</c:v>
                </c:pt>
                <c:pt idx="172">
                  <c:v>18.197833333333335</c:v>
                </c:pt>
                <c:pt idx="173">
                  <c:v>18.482111111111109</c:v>
                </c:pt>
                <c:pt idx="174">
                  <c:v>18.759</c:v>
                </c:pt>
                <c:pt idx="175">
                  <c:v>19.028305555555555</c:v>
                </c:pt>
                <c:pt idx="176">
                  <c:v>19.289833333333334</c:v>
                </c:pt>
                <c:pt idx="177">
                  <c:v>19.543444444444447</c:v>
                </c:pt>
                <c:pt idx="178">
                  <c:v>19.788944444444446</c:v>
                </c:pt>
                <c:pt idx="179">
                  <c:v>20.026166666666665</c:v>
                </c:pt>
                <c:pt idx="180">
                  <c:v>20.254916666666666</c:v>
                </c:pt>
                <c:pt idx="181">
                  <c:v>20.47508333333333</c:v>
                </c:pt>
                <c:pt idx="182">
                  <c:v>20.686444444444444</c:v>
                </c:pt>
                <c:pt idx="183">
                  <c:v>20.888861111111112</c:v>
                </c:pt>
                <c:pt idx="184">
                  <c:v>21.082194444444443</c:v>
                </c:pt>
                <c:pt idx="185">
                  <c:v>21.266305555555554</c:v>
                </c:pt>
                <c:pt idx="186">
                  <c:v>21.441055555555558</c:v>
                </c:pt>
                <c:pt idx="187">
                  <c:v>21.606250000000003</c:v>
                </c:pt>
                <c:pt idx="188">
                  <c:v>21.761833333333332</c:v>
                </c:pt>
                <c:pt idx="189">
                  <c:v>21.907638888888886</c:v>
                </c:pt>
                <c:pt idx="190">
                  <c:v>22.043555555555557</c:v>
                </c:pt>
                <c:pt idx="191">
                  <c:v>22.169472222222222</c:v>
                </c:pt>
                <c:pt idx="192">
                  <c:v>22.285250000000001</c:v>
                </c:pt>
                <c:pt idx="193">
                  <c:v>22.390833333333333</c:v>
                </c:pt>
                <c:pt idx="194">
                  <c:v>22.486083333333333</c:v>
                </c:pt>
                <c:pt idx="195">
                  <c:v>22.570944444444443</c:v>
                </c:pt>
                <c:pt idx="196">
                  <c:v>22.645305555555556</c:v>
                </c:pt>
                <c:pt idx="197">
                  <c:v>22.709083333333332</c:v>
                </c:pt>
                <c:pt idx="198">
                  <c:v>22.762222222222221</c:v>
                </c:pt>
                <c:pt idx="199">
                  <c:v>22.804638888888888</c:v>
                </c:pt>
                <c:pt idx="200">
                  <c:v>22.83625</c:v>
                </c:pt>
                <c:pt idx="201">
                  <c:v>22.857055555555558</c:v>
                </c:pt>
                <c:pt idx="202">
                  <c:v>22.867000000000001</c:v>
                </c:pt>
                <c:pt idx="203">
                  <c:v>22.866</c:v>
                </c:pt>
                <c:pt idx="204">
                  <c:v>22.854055555555558</c:v>
                </c:pt>
                <c:pt idx="205">
                  <c:v>22.831166666666668</c:v>
                </c:pt>
                <c:pt idx="206">
                  <c:v>22.797277777777779</c:v>
                </c:pt>
                <c:pt idx="207">
                  <c:v>22.752416666666665</c:v>
                </c:pt>
                <c:pt idx="208">
                  <c:v>22.696583333333333</c:v>
                </c:pt>
                <c:pt idx="209">
                  <c:v>22.629777777777779</c:v>
                </c:pt>
                <c:pt idx="210">
                  <c:v>22.552027777777777</c:v>
                </c:pt>
                <c:pt idx="211">
                  <c:v>22.463361111111109</c:v>
                </c:pt>
                <c:pt idx="212">
                  <c:v>22.363805555555558</c:v>
                </c:pt>
                <c:pt idx="213">
                  <c:v>22.253416666666666</c:v>
                </c:pt>
                <c:pt idx="214">
                  <c:v>22.132222222222222</c:v>
                </c:pt>
                <c:pt idx="215">
                  <c:v>22.000333333333334</c:v>
                </c:pt>
                <c:pt idx="216">
                  <c:v>21.857750000000003</c:v>
                </c:pt>
                <c:pt idx="217">
                  <c:v>21.70461111111111</c:v>
                </c:pt>
                <c:pt idx="218">
                  <c:v>21.540944444444445</c:v>
                </c:pt>
                <c:pt idx="219">
                  <c:v>21.366861111111113</c:v>
                </c:pt>
                <c:pt idx="220">
                  <c:v>21.182472222222223</c:v>
                </c:pt>
                <c:pt idx="221">
                  <c:v>20.987833333333334</c:v>
                </c:pt>
                <c:pt idx="222">
                  <c:v>20.783055555555556</c:v>
                </c:pt>
                <c:pt idx="223">
                  <c:v>20.568277777777777</c:v>
                </c:pt>
                <c:pt idx="224">
                  <c:v>20.343583333333331</c:v>
                </c:pt>
                <c:pt idx="225">
                  <c:v>20.109111111111112</c:v>
                </c:pt>
                <c:pt idx="226">
                  <c:v>19.864972222222224</c:v>
                </c:pt>
                <c:pt idx="227">
                  <c:v>19.611305555555557</c:v>
                </c:pt>
                <c:pt idx="228">
                  <c:v>19.348222222222223</c:v>
                </c:pt>
                <c:pt idx="229">
                  <c:v>19.075888888888887</c:v>
                </c:pt>
                <c:pt idx="230">
                  <c:v>18.794444444444448</c:v>
                </c:pt>
                <c:pt idx="231">
                  <c:v>18.504027777777779</c:v>
                </c:pt>
                <c:pt idx="232">
                  <c:v>18.204777777777778</c:v>
                </c:pt>
                <c:pt idx="233">
                  <c:v>17.896888888888888</c:v>
                </c:pt>
                <c:pt idx="234">
                  <c:v>17.580527777777778</c:v>
                </c:pt>
                <c:pt idx="235">
                  <c:v>17.255833333333332</c:v>
                </c:pt>
                <c:pt idx="236">
                  <c:v>16.922972222222224</c:v>
                </c:pt>
                <c:pt idx="237">
                  <c:v>16.582138888888888</c:v>
                </c:pt>
                <c:pt idx="238">
                  <c:v>16.233499999999999</c:v>
                </c:pt>
                <c:pt idx="239">
                  <c:v>15.87725</c:v>
                </c:pt>
                <c:pt idx="240">
                  <c:v>15.513527777777778</c:v>
                </c:pt>
                <c:pt idx="241">
                  <c:v>15.142583333333333</c:v>
                </c:pt>
                <c:pt idx="242">
                  <c:v>14.764555555555555</c:v>
                </c:pt>
                <c:pt idx="243">
                  <c:v>14.37963888888889</c:v>
                </c:pt>
                <c:pt idx="244">
                  <c:v>13.988027777777777</c:v>
                </c:pt>
                <c:pt idx="245">
                  <c:v>13.589944444444445</c:v>
                </c:pt>
                <c:pt idx="246">
                  <c:v>13.185555555555556</c:v>
                </c:pt>
                <c:pt idx="247">
                  <c:v>12.775027777777778</c:v>
                </c:pt>
                <c:pt idx="248">
                  <c:v>12.358583333333334</c:v>
                </c:pt>
                <c:pt idx="249">
                  <c:v>11.936444444444446</c:v>
                </c:pt>
                <c:pt idx="250">
                  <c:v>11.508722222222222</c:v>
                </c:pt>
                <c:pt idx="251">
                  <c:v>11.075694444444444</c:v>
                </c:pt>
                <c:pt idx="252">
                  <c:v>10.637499999999999</c:v>
                </c:pt>
                <c:pt idx="253">
                  <c:v>10.194333333333333</c:v>
                </c:pt>
                <c:pt idx="254">
                  <c:v>9.746416666666665</c:v>
                </c:pt>
                <c:pt idx="255">
                  <c:v>9.2939166666666662</c:v>
                </c:pt>
                <c:pt idx="256">
                  <c:v>8.837027777777779</c:v>
                </c:pt>
                <c:pt idx="257">
                  <c:v>8.3759722222222219</c:v>
                </c:pt>
                <c:pt idx="258">
                  <c:v>7.910916666666667</c:v>
                </c:pt>
                <c:pt idx="259">
                  <c:v>7.4420833333333336</c:v>
                </c:pt>
                <c:pt idx="260">
                  <c:v>6.9696666666666669</c:v>
                </c:pt>
                <c:pt idx="261">
                  <c:v>6.4938611111111113</c:v>
                </c:pt>
                <c:pt idx="262">
                  <c:v>6.0148611111111112</c:v>
                </c:pt>
                <c:pt idx="263">
                  <c:v>5.532861111111111</c:v>
                </c:pt>
                <c:pt idx="264">
                  <c:v>5.0480833333333335</c:v>
                </c:pt>
                <c:pt idx="265">
                  <c:v>4.5607499999999996</c:v>
                </c:pt>
                <c:pt idx="266">
                  <c:v>4.0710277777777772</c:v>
                </c:pt>
                <c:pt idx="267">
                  <c:v>3.5791388888888886</c:v>
                </c:pt>
                <c:pt idx="268">
                  <c:v>3.0852777777777778</c:v>
                </c:pt>
                <c:pt idx="269">
                  <c:v>2.589666666666667</c:v>
                </c:pt>
                <c:pt idx="270">
                  <c:v>2.0925277777777778</c:v>
                </c:pt>
                <c:pt idx="271">
                  <c:v>1.5940277777777778</c:v>
                </c:pt>
                <c:pt idx="272">
                  <c:v>1.0944166666666666</c:v>
                </c:pt>
                <c:pt idx="273">
                  <c:v>0.59386111111111117</c:v>
                </c:pt>
                <c:pt idx="274">
                  <c:v>9.2583333333333323E-2</c:v>
                </c:pt>
                <c:pt idx="275">
                  <c:v>-0.40919444444444447</c:v>
                </c:pt>
                <c:pt idx="276">
                  <c:v>-0.91127777777777785</c:v>
                </c:pt>
                <c:pt idx="277">
                  <c:v>-1.4134444444444443</c:v>
                </c:pt>
                <c:pt idx="278">
                  <c:v>-1.9155277777777777</c:v>
                </c:pt>
                <c:pt idx="279">
                  <c:v>-2.4172777777777776</c:v>
                </c:pt>
                <c:pt idx="280">
                  <c:v>-2.9185277777777778</c:v>
                </c:pt>
                <c:pt idx="281">
                  <c:v>-3.4190555555555555</c:v>
                </c:pt>
                <c:pt idx="282">
                  <c:v>-3.9186666666666663</c:v>
                </c:pt>
                <c:pt idx="283">
                  <c:v>-4.4171666666666667</c:v>
                </c:pt>
                <c:pt idx="284">
                  <c:v>-4.9143333333333334</c:v>
                </c:pt>
                <c:pt idx="285">
                  <c:v>-5.4099444444444451</c:v>
                </c:pt>
                <c:pt idx="286">
                  <c:v>-5.9038333333333339</c:v>
                </c:pt>
                <c:pt idx="287">
                  <c:v>-6.3957500000000005</c:v>
                </c:pt>
                <c:pt idx="288">
                  <c:v>-6.885527777777777</c:v>
                </c:pt>
                <c:pt idx="289">
                  <c:v>-7.3729166666666659</c:v>
                </c:pt>
                <c:pt idx="290">
                  <c:v>-7.8576944444444443</c:v>
                </c:pt>
                <c:pt idx="291">
                  <c:v>-8.3396666666666679</c:v>
                </c:pt>
                <c:pt idx="292">
                  <c:v>-8.8186388888888878</c:v>
                </c:pt>
                <c:pt idx="293">
                  <c:v>-9.2943611111111117</c:v>
                </c:pt>
                <c:pt idx="294">
                  <c:v>-9.7666111111111107</c:v>
                </c:pt>
                <c:pt idx="295">
                  <c:v>-10.235166666666666</c:v>
                </c:pt>
                <c:pt idx="296">
                  <c:v>-10.699833333333334</c:v>
                </c:pt>
                <c:pt idx="297">
                  <c:v>-11.160361111111111</c:v>
                </c:pt>
                <c:pt idx="298">
                  <c:v>-11.616555555555555</c:v>
                </c:pt>
                <c:pt idx="299">
                  <c:v>-12.068138888888889</c:v>
                </c:pt>
                <c:pt idx="300">
                  <c:v>-12.514944444444444</c:v>
                </c:pt>
                <c:pt idx="301">
                  <c:v>-12.956694444444445</c:v>
                </c:pt>
                <c:pt idx="302">
                  <c:v>-13.393166666666666</c:v>
                </c:pt>
                <c:pt idx="303">
                  <c:v>-13.824194444444444</c:v>
                </c:pt>
                <c:pt idx="304">
                  <c:v>-14.249472222222222</c:v>
                </c:pt>
                <c:pt idx="305">
                  <c:v>-14.668833333333334</c:v>
                </c:pt>
                <c:pt idx="306">
                  <c:v>-15.082027777777778</c:v>
                </c:pt>
                <c:pt idx="307">
                  <c:v>-15.48886111111111</c:v>
                </c:pt>
                <c:pt idx="308">
                  <c:v>-15.889083333333334</c:v>
                </c:pt>
                <c:pt idx="309">
                  <c:v>-16.282472222222221</c:v>
                </c:pt>
                <c:pt idx="310">
                  <c:v>-16.668861111111113</c:v>
                </c:pt>
                <c:pt idx="311">
                  <c:v>-17.047972222222224</c:v>
                </c:pt>
                <c:pt idx="312">
                  <c:v>-17.419611111111113</c:v>
                </c:pt>
                <c:pt idx="313">
                  <c:v>-17.783555555555559</c:v>
                </c:pt>
                <c:pt idx="314">
                  <c:v>-18.139611111111112</c:v>
                </c:pt>
                <c:pt idx="315">
                  <c:v>-18.487555555555556</c:v>
                </c:pt>
                <c:pt idx="316">
                  <c:v>-18.827166666666667</c:v>
                </c:pt>
                <c:pt idx="317">
                  <c:v>-19.158249999999999</c:v>
                </c:pt>
                <c:pt idx="318">
                  <c:v>-19.480555555555554</c:v>
                </c:pt>
                <c:pt idx="319">
                  <c:v>-19.793916666666668</c:v>
                </c:pt>
                <c:pt idx="320">
                  <c:v>-20.098138888888887</c:v>
                </c:pt>
                <c:pt idx="321">
                  <c:v>-20.392972222222223</c:v>
                </c:pt>
                <c:pt idx="322">
                  <c:v>-20.678250000000002</c:v>
                </c:pt>
                <c:pt idx="323">
                  <c:v>-20.953749999999999</c:v>
                </c:pt>
                <c:pt idx="324">
                  <c:v>-21.219333333333331</c:v>
                </c:pt>
                <c:pt idx="325">
                  <c:v>-21.474749999999997</c:v>
                </c:pt>
                <c:pt idx="326">
                  <c:v>-21.719861111111108</c:v>
                </c:pt>
                <c:pt idx="327">
                  <c:v>-21.954444444444444</c:v>
                </c:pt>
                <c:pt idx="328">
                  <c:v>-22.178361111111112</c:v>
                </c:pt>
                <c:pt idx="329">
                  <c:v>-22.391444444444446</c:v>
                </c:pt>
                <c:pt idx="330">
                  <c:v>-22.593499999999999</c:v>
                </c:pt>
                <c:pt idx="331">
                  <c:v>-22.784416666666669</c:v>
                </c:pt>
                <c:pt idx="332">
                  <c:v>-22.963999999999999</c:v>
                </c:pt>
                <c:pt idx="333">
                  <c:v>-23.132138888888889</c:v>
                </c:pt>
                <c:pt idx="334">
                  <c:v>-23.288722222222223</c:v>
                </c:pt>
                <c:pt idx="335">
                  <c:v>-23.433583333333335</c:v>
                </c:pt>
                <c:pt idx="336">
                  <c:v>-23.566638888888889</c:v>
                </c:pt>
                <c:pt idx="337">
                  <c:v>-23.687805555555556</c:v>
                </c:pt>
                <c:pt idx="338">
                  <c:v>-23.796916666666668</c:v>
                </c:pt>
                <c:pt idx="339">
                  <c:v>-23.893944444444443</c:v>
                </c:pt>
                <c:pt idx="340">
                  <c:v>-23.978777777777776</c:v>
                </c:pt>
                <c:pt idx="341">
                  <c:v>-24.051388888888891</c:v>
                </c:pt>
                <c:pt idx="342">
                  <c:v>-24.111638888888891</c:v>
                </c:pt>
                <c:pt idx="343">
                  <c:v>-24.159555555555553</c:v>
                </c:pt>
                <c:pt idx="344">
                  <c:v>-24.195055555555555</c:v>
                </c:pt>
                <c:pt idx="345">
                  <c:v>-24.21811111111111</c:v>
                </c:pt>
                <c:pt idx="346">
                  <c:v>-24.228694444444443</c:v>
                </c:pt>
                <c:pt idx="347">
                  <c:v>-24.226777777777777</c:v>
                </c:pt>
                <c:pt idx="348">
                  <c:v>-24.212361111111111</c:v>
                </c:pt>
                <c:pt idx="349">
                  <c:v>-24.185472222222224</c:v>
                </c:pt>
                <c:pt idx="350">
                  <c:v>-24.146111111111111</c:v>
                </c:pt>
                <c:pt idx="351">
                  <c:v>-24.094305555555554</c:v>
                </c:pt>
                <c:pt idx="352">
                  <c:v>-24.030055555555556</c:v>
                </c:pt>
                <c:pt idx="353">
                  <c:v>-23.953444444444443</c:v>
                </c:pt>
                <c:pt idx="354">
                  <c:v>-23.864500000000003</c:v>
                </c:pt>
                <c:pt idx="355">
                  <c:v>-23.763305555555554</c:v>
                </c:pt>
                <c:pt idx="356">
                  <c:v>-23.649888888888889</c:v>
                </c:pt>
                <c:pt idx="357">
                  <c:v>-23.524361111111109</c:v>
                </c:pt>
                <c:pt idx="358">
                  <c:v>-23.386833333333332</c:v>
                </c:pt>
                <c:pt idx="359">
                  <c:v>-23.237361111111113</c:v>
                </c:pt>
                <c:pt idx="360">
                  <c:v>-23.076083333333333</c:v>
                </c:pt>
                <c:pt idx="361">
                  <c:v>-22.903111111111109</c:v>
                </c:pt>
                <c:pt idx="362">
                  <c:v>-22.718555555555554</c:v>
                </c:pt>
                <c:pt idx="363">
                  <c:v>-22.522555555555556</c:v>
                </c:pt>
                <c:pt idx="364">
                  <c:v>-22.31527777777778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9-4551-8B18-7ABA69D89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709199"/>
        <c:axId val="1177709679"/>
      </c:lineChart>
      <c:catAx>
        <c:axId val="1177709199"/>
        <c:scaling>
          <c:orientation val="minMax"/>
        </c:scaling>
        <c:delete val="1"/>
        <c:axPos val="b"/>
        <c:majorTickMark val="out"/>
        <c:minorTickMark val="none"/>
        <c:tickLblPos val="nextTo"/>
        <c:crossAx val="1177709679"/>
        <c:crosses val="autoZero"/>
        <c:auto val="1"/>
        <c:lblAlgn val="ctr"/>
        <c:lblOffset val="100"/>
        <c:noMultiLvlLbl val="0"/>
      </c:catAx>
      <c:valAx>
        <c:axId val="11777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7770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27214</xdr:colOff>
      <xdr:row>0</xdr:row>
      <xdr:rowOff>136070</xdr:rowOff>
    </xdr:from>
    <xdr:to>
      <xdr:col>31</xdr:col>
      <xdr:colOff>40822</xdr:colOff>
      <xdr:row>30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87A1167-8297-8065-2359-4A40FBCF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61B531B2-C1F1-4F04-AAD2-D87FC1B5861F}" autoFormatId="16" applyNumberFormats="0" applyBorderFormats="0" applyFontFormats="0" applyPatternFormats="0" applyAlignmentFormats="0" applyWidthHeightFormats="0">
  <queryTableRefresh headersInLastRefresh="0"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" xr16:uid="{80BF0AB0-B06E-4E25-81D7-21901D2118EF}" autoFormatId="16" applyNumberFormats="0" applyBorderFormats="0" applyFontFormats="0" applyPatternFormats="0" applyAlignmentFormats="0" applyWidthHeightFormats="0">
  <queryTableRefresh headersInLastRefresh="0"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B6840-4C0E-4FE6-9596-73A2B8A3A037}" name="mars" displayName="mars" ref="A1:H365" tableType="queryTable" headerRowCount="0" totalsRowShown="0">
  <tableColumns count="8">
    <tableColumn id="1" xr3:uid="{DFEE3A19-7991-4287-9D64-15C7FE69F65F}" uniqueName="1" name="Column1" queryTableFieldId="1" dataDxfId="5"/>
    <tableColumn id="2" xr3:uid="{A30A1AB3-75EB-41AB-B326-3D69A513290E}" uniqueName="2" name="Column2" queryTableFieldId="2"/>
    <tableColumn id="3" xr3:uid="{9DFE7D7B-7F29-4EF9-888E-16396F19BC15}" uniqueName="3" name="Column3" queryTableFieldId="3"/>
    <tableColumn id="4" xr3:uid="{2A2D5484-CD06-4A25-8C08-77C430024F05}" uniqueName="4" name="Column4" queryTableFieldId="4" dataDxfId="4"/>
    <tableColumn id="5" xr3:uid="{80EC7F6A-15E5-4B6D-8CA3-59D09C58D55E}" uniqueName="5" name="Column5" queryTableFieldId="5" dataDxfId="3"/>
    <tableColumn id="6" xr3:uid="{F51EEF35-0911-405F-9D7F-CCACFC7DB03A}" uniqueName="6" name="Column6" queryTableFieldId="6"/>
    <tableColumn id="7" xr3:uid="{3A58EB2C-6F5E-4A08-9A23-6801F81E17D3}" uniqueName="7" name="Column7" queryTableFieldId="7"/>
    <tableColumn id="8" xr3:uid="{A5474A81-BAA5-45CB-9466-FCF0C423DA78}" uniqueName="8" name="Column8" queryTableFieldId="8" dataDxfId="2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D3D2A-F6FB-4853-889A-8058FD214237}" name="venus" displayName="venus" ref="A1:H365" tableType="queryTable" headerRowCount="0" totalsRowShown="0">
  <tableColumns count="8">
    <tableColumn id="1" xr3:uid="{3F3B92E3-7DCC-42E5-93FC-724D7B8CF397}" uniqueName="1" name="Column1" queryTableFieldId="1" dataDxfId="1"/>
    <tableColumn id="2" xr3:uid="{249F40D0-D240-415B-9138-73397D229303}" uniqueName="2" name="Column2" queryTableFieldId="2"/>
    <tableColumn id="3" xr3:uid="{544E86CD-7967-4B8D-AD92-3CC175318361}" uniqueName="3" name="Column3" queryTableFieldId="3"/>
    <tableColumn id="4" xr3:uid="{D0D6D2CC-BA9D-407B-9BE3-FA9CB3C7FA10}" uniqueName="4" name="Column4" queryTableFieldId="4"/>
    <tableColumn id="5" xr3:uid="{5FF80455-93D0-4352-BC49-445710A3A6C1}" uniqueName="5" name="Column5" queryTableFieldId="5" dataDxfId="0"/>
    <tableColumn id="6" xr3:uid="{D2F5C4BB-FD90-4574-AFDA-4E6D46341EE5}" uniqueName="6" name="Column6" queryTableFieldId="6"/>
    <tableColumn id="7" xr3:uid="{41249E63-D81E-4EDF-A930-400A0366C5EA}" uniqueName="7" name="Column7" queryTableFieldId="7"/>
    <tableColumn id="8" xr3:uid="{1263FDCE-3888-49BA-8853-88A0CE6DBC85}" uniqueName="8" name="Column8" queryTableFieldId="8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69DC-0184-49A4-85B6-515B066CA1D6}">
  <dimension ref="A1:P365"/>
  <sheetViews>
    <sheetView workbookViewId="0">
      <selection activeCell="N1" sqref="N1:P365"/>
    </sheetView>
  </sheetViews>
  <sheetFormatPr defaultRowHeight="15" x14ac:dyDescent="0.25"/>
  <cols>
    <col min="1" max="8" width="11.42578125" bestFit="1" customWidth="1"/>
  </cols>
  <sheetData>
    <row r="1" spans="1:16" x14ac:dyDescent="0.25">
      <c r="A1" s="3" t="s">
        <v>13</v>
      </c>
      <c r="B1" s="4">
        <v>16</v>
      </c>
      <c r="C1" s="4">
        <v>45</v>
      </c>
      <c r="D1" s="5">
        <v>21.41</v>
      </c>
      <c r="E1" s="5" t="s">
        <v>0</v>
      </c>
      <c r="F1" s="4">
        <v>22</v>
      </c>
      <c r="G1" s="4">
        <v>27</v>
      </c>
      <c r="H1" s="5">
        <v>40.299999999999997</v>
      </c>
      <c r="J1" s="6" t="str">
        <f>$E1&amp;F1</f>
        <v>-22</v>
      </c>
      <c r="K1" s="6" t="str">
        <f t="shared" ref="K1:L1" si="0">$E1&amp;G1</f>
        <v>-27</v>
      </c>
      <c r="L1" s="6" t="str">
        <f t="shared" si="0"/>
        <v>-40,3</v>
      </c>
      <c r="N1" s="2">
        <v>-22</v>
      </c>
      <c r="O1" s="2">
        <v>-27</v>
      </c>
      <c r="P1" s="2">
        <v>-40.299999999999997</v>
      </c>
    </row>
    <row r="2" spans="1:16" x14ac:dyDescent="0.25">
      <c r="A2" s="3" t="s">
        <v>14</v>
      </c>
      <c r="B2" s="4">
        <v>16</v>
      </c>
      <c r="C2" s="4">
        <v>48</v>
      </c>
      <c r="D2" s="5">
        <v>24.36</v>
      </c>
      <c r="E2" s="5" t="s">
        <v>0</v>
      </c>
      <c r="F2" s="4">
        <v>22</v>
      </c>
      <c r="G2" s="4">
        <v>33</v>
      </c>
      <c r="H2" s="5">
        <v>39</v>
      </c>
      <c r="J2" s="6" t="str">
        <f t="shared" ref="J2:J65" si="1">$E2&amp;F2</f>
        <v>-22</v>
      </c>
      <c r="K2" s="6" t="str">
        <f t="shared" ref="K2:K65" si="2">$E2&amp;G2</f>
        <v>-33</v>
      </c>
      <c r="L2" s="6" t="str">
        <f t="shared" ref="L2:L65" si="3">$E2&amp;H2</f>
        <v>-39</v>
      </c>
      <c r="N2" s="2">
        <v>-22</v>
      </c>
      <c r="O2" s="2">
        <v>-33</v>
      </c>
      <c r="P2" s="2">
        <v>-39</v>
      </c>
    </row>
    <row r="3" spans="1:16" x14ac:dyDescent="0.25">
      <c r="A3" s="3" t="s">
        <v>15</v>
      </c>
      <c r="B3" s="4">
        <v>16</v>
      </c>
      <c r="C3" s="4">
        <v>51</v>
      </c>
      <c r="D3" s="5">
        <v>27.72</v>
      </c>
      <c r="E3" s="5" t="s">
        <v>0</v>
      </c>
      <c r="F3" s="4">
        <v>22</v>
      </c>
      <c r="G3" s="4">
        <v>39</v>
      </c>
      <c r="H3" s="5">
        <v>25.3</v>
      </c>
      <c r="J3" s="6" t="str">
        <f t="shared" si="1"/>
        <v>-22</v>
      </c>
      <c r="K3" s="6" t="str">
        <f t="shared" si="2"/>
        <v>-39</v>
      </c>
      <c r="L3" s="6" t="str">
        <f t="shared" si="3"/>
        <v>-25,3</v>
      </c>
      <c r="N3" s="2">
        <v>-22</v>
      </c>
      <c r="O3" s="2">
        <v>-39</v>
      </c>
      <c r="P3" s="2">
        <v>-25.3</v>
      </c>
    </row>
    <row r="4" spans="1:16" x14ac:dyDescent="0.25">
      <c r="A4" s="3" t="s">
        <v>16</v>
      </c>
      <c r="B4" s="4">
        <v>16</v>
      </c>
      <c r="C4" s="4">
        <v>54</v>
      </c>
      <c r="D4" s="5">
        <v>31.5</v>
      </c>
      <c r="E4" s="5" t="s">
        <v>0</v>
      </c>
      <c r="F4" s="4">
        <v>22</v>
      </c>
      <c r="G4" s="4">
        <v>44</v>
      </c>
      <c r="H4" s="5">
        <v>59</v>
      </c>
      <c r="J4" s="6" t="str">
        <f t="shared" si="1"/>
        <v>-22</v>
      </c>
      <c r="K4" s="6" t="str">
        <f t="shared" si="2"/>
        <v>-44</v>
      </c>
      <c r="L4" s="6" t="str">
        <f t="shared" si="3"/>
        <v>-59</v>
      </c>
      <c r="N4" s="2">
        <v>-22</v>
      </c>
      <c r="O4" s="2">
        <v>-44</v>
      </c>
      <c r="P4" s="2">
        <v>-59</v>
      </c>
    </row>
    <row r="5" spans="1:16" x14ac:dyDescent="0.25">
      <c r="A5" s="3" t="s">
        <v>17</v>
      </c>
      <c r="B5" s="4">
        <v>16</v>
      </c>
      <c r="C5" s="4">
        <v>57</v>
      </c>
      <c r="D5" s="5">
        <v>35.68</v>
      </c>
      <c r="E5" s="5" t="s">
        <v>0</v>
      </c>
      <c r="F5" s="4">
        <v>22</v>
      </c>
      <c r="G5" s="4">
        <v>50</v>
      </c>
      <c r="H5" s="5">
        <v>20</v>
      </c>
      <c r="J5" s="6" t="str">
        <f t="shared" si="1"/>
        <v>-22</v>
      </c>
      <c r="K5" s="6" t="str">
        <f t="shared" si="2"/>
        <v>-50</v>
      </c>
      <c r="L5" s="6" t="str">
        <f t="shared" si="3"/>
        <v>-20</v>
      </c>
      <c r="N5" s="2">
        <v>-22</v>
      </c>
      <c r="O5" s="2">
        <v>-50</v>
      </c>
      <c r="P5" s="2">
        <v>-20</v>
      </c>
    </row>
    <row r="6" spans="1:16" x14ac:dyDescent="0.25">
      <c r="A6" s="3" t="s">
        <v>18</v>
      </c>
      <c r="B6" s="4">
        <v>17</v>
      </c>
      <c r="C6" s="4">
        <v>0</v>
      </c>
      <c r="D6" s="5">
        <v>40.25</v>
      </c>
      <c r="E6" s="5" t="s">
        <v>0</v>
      </c>
      <c r="F6" s="4">
        <v>22</v>
      </c>
      <c r="G6" s="4">
        <v>55</v>
      </c>
      <c r="H6" s="5">
        <v>28.2</v>
      </c>
      <c r="J6" s="6" t="str">
        <f t="shared" si="1"/>
        <v>-22</v>
      </c>
      <c r="K6" s="6" t="str">
        <f t="shared" si="2"/>
        <v>-55</v>
      </c>
      <c r="L6" s="6" t="str">
        <f t="shared" si="3"/>
        <v>-28,2</v>
      </c>
      <c r="N6" s="2">
        <v>-22</v>
      </c>
      <c r="O6" s="2">
        <v>-55</v>
      </c>
      <c r="P6" s="2">
        <v>-28.2</v>
      </c>
    </row>
    <row r="7" spans="1:16" x14ac:dyDescent="0.25">
      <c r="A7" s="3" t="s">
        <v>19</v>
      </c>
      <c r="B7" s="4">
        <v>17</v>
      </c>
      <c r="C7" s="4">
        <v>3</v>
      </c>
      <c r="D7" s="5">
        <v>45.2</v>
      </c>
      <c r="E7" s="5" t="s">
        <v>0</v>
      </c>
      <c r="F7" s="4">
        <v>23</v>
      </c>
      <c r="G7" s="4">
        <v>0</v>
      </c>
      <c r="H7" s="5">
        <v>23.5</v>
      </c>
      <c r="J7" s="6" t="str">
        <f t="shared" si="1"/>
        <v>-23</v>
      </c>
      <c r="K7" s="6" t="str">
        <f t="shared" si="2"/>
        <v>-0</v>
      </c>
      <c r="L7" s="6" t="str">
        <f t="shared" si="3"/>
        <v>-23,5</v>
      </c>
      <c r="N7" s="2">
        <v>-23</v>
      </c>
      <c r="O7" s="2">
        <v>0</v>
      </c>
      <c r="P7" s="2">
        <v>-23.5</v>
      </c>
    </row>
    <row r="8" spans="1:16" x14ac:dyDescent="0.25">
      <c r="A8" s="3" t="s">
        <v>20</v>
      </c>
      <c r="B8" s="4">
        <v>17</v>
      </c>
      <c r="C8" s="4">
        <v>6</v>
      </c>
      <c r="D8" s="5">
        <v>50.52</v>
      </c>
      <c r="E8" s="5" t="s">
        <v>0</v>
      </c>
      <c r="F8" s="4">
        <v>23</v>
      </c>
      <c r="G8" s="4">
        <v>5</v>
      </c>
      <c r="H8" s="5">
        <v>5.7</v>
      </c>
      <c r="J8" s="6" t="str">
        <f t="shared" si="1"/>
        <v>-23</v>
      </c>
      <c r="K8" s="6" t="str">
        <f t="shared" si="2"/>
        <v>-5</v>
      </c>
      <c r="L8" s="6" t="str">
        <f t="shared" si="3"/>
        <v>-5,7</v>
      </c>
      <c r="N8" s="2">
        <v>-23</v>
      </c>
      <c r="O8" s="2">
        <v>-5</v>
      </c>
      <c r="P8" s="2">
        <v>-5.7</v>
      </c>
    </row>
    <row r="9" spans="1:16" x14ac:dyDescent="0.25">
      <c r="A9" s="3" t="s">
        <v>21</v>
      </c>
      <c r="B9" s="4">
        <v>17</v>
      </c>
      <c r="C9" s="4">
        <v>9</v>
      </c>
      <c r="D9" s="5">
        <v>56.2</v>
      </c>
      <c r="E9" s="5" t="s">
        <v>0</v>
      </c>
      <c r="F9" s="4">
        <v>23</v>
      </c>
      <c r="G9" s="4">
        <v>9</v>
      </c>
      <c r="H9" s="5">
        <v>34.9</v>
      </c>
      <c r="J9" s="6" t="str">
        <f t="shared" si="1"/>
        <v>-23</v>
      </c>
      <c r="K9" s="6" t="str">
        <f t="shared" si="2"/>
        <v>-9</v>
      </c>
      <c r="L9" s="6" t="str">
        <f t="shared" si="3"/>
        <v>-34,9</v>
      </c>
      <c r="N9" s="2">
        <v>-23</v>
      </c>
      <c r="O9" s="2">
        <v>-9</v>
      </c>
      <c r="P9" s="2">
        <v>-34.9</v>
      </c>
    </row>
    <row r="10" spans="1:16" x14ac:dyDescent="0.25">
      <c r="A10" s="3" t="s">
        <v>22</v>
      </c>
      <c r="B10" s="4">
        <v>17</v>
      </c>
      <c r="C10" s="4">
        <v>13</v>
      </c>
      <c r="D10" s="5">
        <v>2.25</v>
      </c>
      <c r="E10" s="5" t="s">
        <v>0</v>
      </c>
      <c r="F10" s="4">
        <v>23</v>
      </c>
      <c r="G10" s="4">
        <v>13</v>
      </c>
      <c r="H10" s="5">
        <v>50.9</v>
      </c>
      <c r="J10" s="6" t="str">
        <f t="shared" si="1"/>
        <v>-23</v>
      </c>
      <c r="K10" s="6" t="str">
        <f t="shared" si="2"/>
        <v>-13</v>
      </c>
      <c r="L10" s="6" t="str">
        <f t="shared" si="3"/>
        <v>-50,9</v>
      </c>
      <c r="N10" s="2">
        <v>-23</v>
      </c>
      <c r="O10" s="2">
        <v>-13</v>
      </c>
      <c r="P10" s="2">
        <v>-50.9</v>
      </c>
    </row>
    <row r="11" spans="1:16" x14ac:dyDescent="0.25">
      <c r="A11" s="3" t="s">
        <v>23</v>
      </c>
      <c r="B11" s="4">
        <v>17</v>
      </c>
      <c r="C11" s="4">
        <v>16</v>
      </c>
      <c r="D11" s="5">
        <v>8.6300000000000008</v>
      </c>
      <c r="E11" s="5" t="s">
        <v>0</v>
      </c>
      <c r="F11" s="4">
        <v>23</v>
      </c>
      <c r="G11" s="4">
        <v>17</v>
      </c>
      <c r="H11" s="5">
        <v>53.5</v>
      </c>
      <c r="J11" s="6" t="str">
        <f t="shared" si="1"/>
        <v>-23</v>
      </c>
      <c r="K11" s="6" t="str">
        <f t="shared" si="2"/>
        <v>-17</v>
      </c>
      <c r="L11" s="6" t="str">
        <f t="shared" si="3"/>
        <v>-53,5</v>
      </c>
      <c r="N11" s="2">
        <v>-23</v>
      </c>
      <c r="O11" s="2">
        <v>-17</v>
      </c>
      <c r="P11" s="2">
        <v>-53.5</v>
      </c>
    </row>
    <row r="12" spans="1:16" x14ac:dyDescent="0.25">
      <c r="A12" s="3" t="s">
        <v>24</v>
      </c>
      <c r="B12" s="4">
        <v>17</v>
      </c>
      <c r="C12" s="4">
        <v>19</v>
      </c>
      <c r="D12" s="5">
        <v>15.36</v>
      </c>
      <c r="E12" s="5" t="s">
        <v>0</v>
      </c>
      <c r="F12" s="4">
        <v>23</v>
      </c>
      <c r="G12" s="4">
        <v>21</v>
      </c>
      <c r="H12" s="5">
        <v>42.9</v>
      </c>
      <c r="J12" s="6" t="str">
        <f t="shared" si="1"/>
        <v>-23</v>
      </c>
      <c r="K12" s="6" t="str">
        <f t="shared" si="2"/>
        <v>-21</v>
      </c>
      <c r="L12" s="6" t="str">
        <f t="shared" si="3"/>
        <v>-42,9</v>
      </c>
      <c r="N12" s="2">
        <v>-23</v>
      </c>
      <c r="O12" s="2">
        <v>-21</v>
      </c>
      <c r="P12" s="2">
        <v>-42.9</v>
      </c>
    </row>
    <row r="13" spans="1:16" x14ac:dyDescent="0.25">
      <c r="A13" s="3" t="s">
        <v>25</v>
      </c>
      <c r="B13" s="4">
        <v>17</v>
      </c>
      <c r="C13" s="4">
        <v>22</v>
      </c>
      <c r="D13" s="5">
        <v>22.42</v>
      </c>
      <c r="E13" s="5" t="s">
        <v>0</v>
      </c>
      <c r="F13" s="4">
        <v>23</v>
      </c>
      <c r="G13" s="4">
        <v>25</v>
      </c>
      <c r="H13" s="5">
        <v>18.8</v>
      </c>
      <c r="J13" s="6" t="str">
        <f t="shared" si="1"/>
        <v>-23</v>
      </c>
      <c r="K13" s="6" t="str">
        <f t="shared" si="2"/>
        <v>-25</v>
      </c>
      <c r="L13" s="6" t="str">
        <f t="shared" si="3"/>
        <v>-18,8</v>
      </c>
      <c r="N13" s="2">
        <v>-23</v>
      </c>
      <c r="O13" s="2">
        <v>-25</v>
      </c>
      <c r="P13" s="2">
        <v>-18.8</v>
      </c>
    </row>
    <row r="14" spans="1:16" x14ac:dyDescent="0.25">
      <c r="A14" s="3" t="s">
        <v>26</v>
      </c>
      <c r="B14" s="4">
        <v>17</v>
      </c>
      <c r="C14" s="4">
        <v>25</v>
      </c>
      <c r="D14" s="5">
        <v>29.79</v>
      </c>
      <c r="E14" s="5" t="s">
        <v>0</v>
      </c>
      <c r="F14" s="4">
        <v>23</v>
      </c>
      <c r="G14" s="4">
        <v>28</v>
      </c>
      <c r="H14" s="5">
        <v>41.1</v>
      </c>
      <c r="J14" s="6" t="str">
        <f t="shared" si="1"/>
        <v>-23</v>
      </c>
      <c r="K14" s="6" t="str">
        <f t="shared" si="2"/>
        <v>-28</v>
      </c>
      <c r="L14" s="6" t="str">
        <f t="shared" si="3"/>
        <v>-41,1</v>
      </c>
      <c r="N14" s="2">
        <v>-23</v>
      </c>
      <c r="O14" s="2">
        <v>-28</v>
      </c>
      <c r="P14" s="2">
        <v>-41.1</v>
      </c>
    </row>
    <row r="15" spans="1:16" x14ac:dyDescent="0.25">
      <c r="A15" s="3" t="s">
        <v>27</v>
      </c>
      <c r="B15" s="4">
        <v>17</v>
      </c>
      <c r="C15" s="4">
        <v>28</v>
      </c>
      <c r="D15" s="5">
        <v>37.49</v>
      </c>
      <c r="E15" s="5" t="s">
        <v>0</v>
      </c>
      <c r="F15" s="4">
        <v>23</v>
      </c>
      <c r="G15" s="4">
        <v>31</v>
      </c>
      <c r="H15" s="5">
        <v>49.9</v>
      </c>
      <c r="J15" s="6" t="str">
        <f t="shared" si="1"/>
        <v>-23</v>
      </c>
      <c r="K15" s="6" t="str">
        <f t="shared" si="2"/>
        <v>-31</v>
      </c>
      <c r="L15" s="6" t="str">
        <f t="shared" si="3"/>
        <v>-49,9</v>
      </c>
      <c r="N15" s="2">
        <v>-23</v>
      </c>
      <c r="O15" s="2">
        <v>-31</v>
      </c>
      <c r="P15" s="2">
        <v>-49.9</v>
      </c>
    </row>
    <row r="16" spans="1:16" x14ac:dyDescent="0.25">
      <c r="A16" s="3" t="s">
        <v>28</v>
      </c>
      <c r="B16" s="4">
        <v>17</v>
      </c>
      <c r="C16" s="4">
        <v>31</v>
      </c>
      <c r="D16" s="5">
        <v>45.48</v>
      </c>
      <c r="E16" s="5" t="s">
        <v>0</v>
      </c>
      <c r="F16" s="4">
        <v>23</v>
      </c>
      <c r="G16" s="4">
        <v>34</v>
      </c>
      <c r="H16" s="5">
        <v>45</v>
      </c>
      <c r="J16" s="6" t="str">
        <f t="shared" si="1"/>
        <v>-23</v>
      </c>
      <c r="K16" s="6" t="str">
        <f t="shared" si="2"/>
        <v>-34</v>
      </c>
      <c r="L16" s="6" t="str">
        <f t="shared" si="3"/>
        <v>-45</v>
      </c>
      <c r="N16" s="2">
        <v>-23</v>
      </c>
      <c r="O16" s="2">
        <v>-34</v>
      </c>
      <c r="P16" s="2">
        <v>-45</v>
      </c>
    </row>
    <row r="17" spans="1:16" x14ac:dyDescent="0.25">
      <c r="A17" s="3" t="s">
        <v>29</v>
      </c>
      <c r="B17" s="4">
        <v>17</v>
      </c>
      <c r="C17" s="4">
        <v>34</v>
      </c>
      <c r="D17" s="5">
        <v>53.77</v>
      </c>
      <c r="E17" s="5" t="s">
        <v>0</v>
      </c>
      <c r="F17" s="4">
        <v>23</v>
      </c>
      <c r="G17" s="4">
        <v>37</v>
      </c>
      <c r="H17" s="5">
        <v>26.3</v>
      </c>
      <c r="J17" s="6" t="str">
        <f t="shared" si="1"/>
        <v>-23</v>
      </c>
      <c r="K17" s="6" t="str">
        <f t="shared" si="2"/>
        <v>-37</v>
      </c>
      <c r="L17" s="6" t="str">
        <f t="shared" si="3"/>
        <v>-26,3</v>
      </c>
      <c r="N17" s="2">
        <v>-23</v>
      </c>
      <c r="O17" s="2">
        <v>-37</v>
      </c>
      <c r="P17" s="2">
        <v>-26.3</v>
      </c>
    </row>
    <row r="18" spans="1:16" x14ac:dyDescent="0.25">
      <c r="A18" s="3" t="s">
        <v>30</v>
      </c>
      <c r="B18" s="4">
        <v>17</v>
      </c>
      <c r="C18" s="4">
        <v>38</v>
      </c>
      <c r="D18" s="5">
        <v>2.35</v>
      </c>
      <c r="E18" s="5" t="s">
        <v>0</v>
      </c>
      <c r="F18" s="4">
        <v>23</v>
      </c>
      <c r="G18" s="4">
        <v>39</v>
      </c>
      <c r="H18" s="5">
        <v>53.9</v>
      </c>
      <c r="J18" s="6" t="str">
        <f t="shared" si="1"/>
        <v>-23</v>
      </c>
      <c r="K18" s="6" t="str">
        <f t="shared" si="2"/>
        <v>-39</v>
      </c>
      <c r="L18" s="6" t="str">
        <f t="shared" si="3"/>
        <v>-53,9</v>
      </c>
      <c r="N18" s="2">
        <v>-23</v>
      </c>
      <c r="O18" s="2">
        <v>-39</v>
      </c>
      <c r="P18" s="2">
        <v>-53.9</v>
      </c>
    </row>
    <row r="19" spans="1:16" x14ac:dyDescent="0.25">
      <c r="A19" s="3" t="s">
        <v>31</v>
      </c>
      <c r="B19" s="4">
        <v>17</v>
      </c>
      <c r="C19" s="4">
        <v>41</v>
      </c>
      <c r="D19" s="5">
        <v>11.2</v>
      </c>
      <c r="E19" s="5" t="s">
        <v>0</v>
      </c>
      <c r="F19" s="4">
        <v>23</v>
      </c>
      <c r="G19" s="4">
        <v>42</v>
      </c>
      <c r="H19" s="5">
        <v>7.5</v>
      </c>
      <c r="J19" s="6" t="str">
        <f t="shared" si="1"/>
        <v>-23</v>
      </c>
      <c r="K19" s="6" t="str">
        <f t="shared" si="2"/>
        <v>-42</v>
      </c>
      <c r="L19" s="6" t="str">
        <f t="shared" si="3"/>
        <v>-7,5</v>
      </c>
      <c r="N19" s="2">
        <v>-23</v>
      </c>
      <c r="O19" s="2">
        <v>-42</v>
      </c>
      <c r="P19" s="2">
        <v>-7.5</v>
      </c>
    </row>
    <row r="20" spans="1:16" x14ac:dyDescent="0.25">
      <c r="A20" s="3" t="s">
        <v>32</v>
      </c>
      <c r="B20" s="4">
        <v>17</v>
      </c>
      <c r="C20" s="4">
        <v>44</v>
      </c>
      <c r="D20" s="5">
        <v>20.32</v>
      </c>
      <c r="E20" s="5" t="s">
        <v>0</v>
      </c>
      <c r="F20" s="4">
        <v>23</v>
      </c>
      <c r="G20" s="4">
        <v>44</v>
      </c>
      <c r="H20" s="5">
        <v>7.3</v>
      </c>
      <c r="J20" s="6" t="str">
        <f t="shared" si="1"/>
        <v>-23</v>
      </c>
      <c r="K20" s="6" t="str">
        <f t="shared" si="2"/>
        <v>-44</v>
      </c>
      <c r="L20" s="6" t="str">
        <f t="shared" si="3"/>
        <v>-7,3</v>
      </c>
      <c r="N20" s="2">
        <v>-23</v>
      </c>
      <c r="O20" s="2">
        <v>-44</v>
      </c>
      <c r="P20" s="2">
        <v>-7.3</v>
      </c>
    </row>
    <row r="21" spans="1:16" x14ac:dyDescent="0.25">
      <c r="A21" s="3" t="s">
        <v>33</v>
      </c>
      <c r="B21" s="4">
        <v>17</v>
      </c>
      <c r="C21" s="4">
        <v>47</v>
      </c>
      <c r="D21" s="5">
        <v>29.69</v>
      </c>
      <c r="E21" s="5" t="s">
        <v>0</v>
      </c>
      <c r="F21" s="4">
        <v>23</v>
      </c>
      <c r="G21" s="4">
        <v>45</v>
      </c>
      <c r="H21" s="5">
        <v>53</v>
      </c>
      <c r="J21" s="6" t="str">
        <f t="shared" si="1"/>
        <v>-23</v>
      </c>
      <c r="K21" s="6" t="str">
        <f t="shared" si="2"/>
        <v>-45</v>
      </c>
      <c r="L21" s="6" t="str">
        <f t="shared" si="3"/>
        <v>-53</v>
      </c>
      <c r="N21" s="2">
        <v>-23</v>
      </c>
      <c r="O21" s="2">
        <v>-45</v>
      </c>
      <c r="P21" s="2">
        <v>-53</v>
      </c>
    </row>
    <row r="22" spans="1:16" x14ac:dyDescent="0.25">
      <c r="A22" s="3" t="s">
        <v>34</v>
      </c>
      <c r="B22" s="4">
        <v>17</v>
      </c>
      <c r="C22" s="4">
        <v>50</v>
      </c>
      <c r="D22" s="5">
        <v>39.32</v>
      </c>
      <c r="E22" s="5" t="s">
        <v>0</v>
      </c>
      <c r="F22" s="4">
        <v>23</v>
      </c>
      <c r="G22" s="4">
        <v>47</v>
      </c>
      <c r="H22" s="5">
        <v>24.7</v>
      </c>
      <c r="J22" s="6" t="str">
        <f t="shared" si="1"/>
        <v>-23</v>
      </c>
      <c r="K22" s="6" t="str">
        <f t="shared" si="2"/>
        <v>-47</v>
      </c>
      <c r="L22" s="6" t="str">
        <f t="shared" si="3"/>
        <v>-24,7</v>
      </c>
      <c r="N22" s="2">
        <v>-23</v>
      </c>
      <c r="O22" s="2">
        <v>-47</v>
      </c>
      <c r="P22" s="2">
        <v>-24.7</v>
      </c>
    </row>
    <row r="23" spans="1:16" x14ac:dyDescent="0.25">
      <c r="A23" s="3" t="s">
        <v>35</v>
      </c>
      <c r="B23" s="4">
        <v>17</v>
      </c>
      <c r="C23" s="4">
        <v>53</v>
      </c>
      <c r="D23" s="5">
        <v>49.17</v>
      </c>
      <c r="E23" s="5" t="s">
        <v>0</v>
      </c>
      <c r="F23" s="4">
        <v>23</v>
      </c>
      <c r="G23" s="4">
        <v>48</v>
      </c>
      <c r="H23" s="5">
        <v>42.2</v>
      </c>
      <c r="J23" s="6" t="str">
        <f t="shared" si="1"/>
        <v>-23</v>
      </c>
      <c r="K23" s="6" t="str">
        <f t="shared" si="2"/>
        <v>-48</v>
      </c>
      <c r="L23" s="6" t="str">
        <f t="shared" si="3"/>
        <v>-42,2</v>
      </c>
      <c r="N23" s="2">
        <v>-23</v>
      </c>
      <c r="O23" s="2">
        <v>-48</v>
      </c>
      <c r="P23" s="2">
        <v>-42.2</v>
      </c>
    </row>
    <row r="24" spans="1:16" x14ac:dyDescent="0.25">
      <c r="A24" s="3" t="s">
        <v>36</v>
      </c>
      <c r="B24" s="4">
        <v>17</v>
      </c>
      <c r="C24" s="4">
        <v>56</v>
      </c>
      <c r="D24" s="5">
        <v>59.26</v>
      </c>
      <c r="E24" s="5" t="s">
        <v>0</v>
      </c>
      <c r="F24" s="4">
        <v>23</v>
      </c>
      <c r="G24" s="4">
        <v>49</v>
      </c>
      <c r="H24" s="5">
        <v>45.6</v>
      </c>
      <c r="J24" s="6" t="str">
        <f t="shared" si="1"/>
        <v>-23</v>
      </c>
      <c r="K24" s="6" t="str">
        <f t="shared" si="2"/>
        <v>-49</v>
      </c>
      <c r="L24" s="6" t="str">
        <f t="shared" si="3"/>
        <v>-45,6</v>
      </c>
      <c r="N24" s="2">
        <v>-23</v>
      </c>
      <c r="O24" s="2">
        <v>-49</v>
      </c>
      <c r="P24" s="2">
        <v>-45.6</v>
      </c>
    </row>
    <row r="25" spans="1:16" x14ac:dyDescent="0.25">
      <c r="A25" s="3" t="s">
        <v>37</v>
      </c>
      <c r="B25" s="4">
        <v>18</v>
      </c>
      <c r="C25" s="4">
        <v>0</v>
      </c>
      <c r="D25" s="5">
        <v>9.5500000000000007</v>
      </c>
      <c r="E25" s="5" t="s">
        <v>0</v>
      </c>
      <c r="F25" s="4">
        <v>23</v>
      </c>
      <c r="G25" s="4">
        <v>50</v>
      </c>
      <c r="H25" s="5">
        <v>34.700000000000003</v>
      </c>
      <c r="J25" s="6" t="str">
        <f t="shared" si="1"/>
        <v>-23</v>
      </c>
      <c r="K25" s="6" t="str">
        <f t="shared" si="2"/>
        <v>-50</v>
      </c>
      <c r="L25" s="6" t="str">
        <f t="shared" si="3"/>
        <v>-34,7</v>
      </c>
      <c r="N25" s="2">
        <v>-23</v>
      </c>
      <c r="O25" s="2">
        <v>-50</v>
      </c>
      <c r="P25" s="2">
        <v>-34.700000000000003</v>
      </c>
    </row>
    <row r="26" spans="1:16" x14ac:dyDescent="0.25">
      <c r="A26" s="3" t="s">
        <v>38</v>
      </c>
      <c r="B26" s="4">
        <v>18</v>
      </c>
      <c r="C26" s="4">
        <v>3</v>
      </c>
      <c r="D26" s="5">
        <v>20.05</v>
      </c>
      <c r="E26" s="5" t="s">
        <v>0</v>
      </c>
      <c r="F26" s="4">
        <v>23</v>
      </c>
      <c r="G26" s="4">
        <v>51</v>
      </c>
      <c r="H26" s="5">
        <v>9.6</v>
      </c>
      <c r="J26" s="6" t="str">
        <f t="shared" si="1"/>
        <v>-23</v>
      </c>
      <c r="K26" s="6" t="str">
        <f t="shared" si="2"/>
        <v>-51</v>
      </c>
      <c r="L26" s="6" t="str">
        <f t="shared" si="3"/>
        <v>-9,6</v>
      </c>
      <c r="N26" s="2">
        <v>-23</v>
      </c>
      <c r="O26" s="2">
        <v>-51</v>
      </c>
      <c r="P26" s="2">
        <v>-9.6</v>
      </c>
    </row>
    <row r="27" spans="1:16" x14ac:dyDescent="0.25">
      <c r="A27" s="3" t="s">
        <v>39</v>
      </c>
      <c r="B27" s="4">
        <v>18</v>
      </c>
      <c r="C27" s="4">
        <v>6</v>
      </c>
      <c r="D27" s="5">
        <v>30.73</v>
      </c>
      <c r="E27" s="5" t="s">
        <v>0</v>
      </c>
      <c r="F27" s="4">
        <v>23</v>
      </c>
      <c r="G27" s="4">
        <v>51</v>
      </c>
      <c r="H27" s="5">
        <v>30.2</v>
      </c>
      <c r="J27" s="6" t="str">
        <f t="shared" si="1"/>
        <v>-23</v>
      </c>
      <c r="K27" s="6" t="str">
        <f t="shared" si="2"/>
        <v>-51</v>
      </c>
      <c r="L27" s="6" t="str">
        <f t="shared" si="3"/>
        <v>-30,2</v>
      </c>
      <c r="N27" s="2">
        <v>-23</v>
      </c>
      <c r="O27" s="2">
        <v>-51</v>
      </c>
      <c r="P27" s="2">
        <v>-30.2</v>
      </c>
    </row>
    <row r="28" spans="1:16" x14ac:dyDescent="0.25">
      <c r="A28" s="3" t="s">
        <v>40</v>
      </c>
      <c r="B28" s="4">
        <v>18</v>
      </c>
      <c r="C28" s="4">
        <v>9</v>
      </c>
      <c r="D28" s="5">
        <v>41.58</v>
      </c>
      <c r="E28" s="5" t="s">
        <v>0</v>
      </c>
      <c r="F28" s="4">
        <v>23</v>
      </c>
      <c r="G28" s="4">
        <v>51</v>
      </c>
      <c r="H28" s="5">
        <v>36.4</v>
      </c>
      <c r="J28" s="6" t="str">
        <f t="shared" si="1"/>
        <v>-23</v>
      </c>
      <c r="K28" s="6" t="str">
        <f t="shared" si="2"/>
        <v>-51</v>
      </c>
      <c r="L28" s="6" t="str">
        <f t="shared" si="3"/>
        <v>-36,4</v>
      </c>
      <c r="N28" s="2">
        <v>-23</v>
      </c>
      <c r="O28" s="2">
        <v>-51</v>
      </c>
      <c r="P28" s="2">
        <v>-36.4</v>
      </c>
    </row>
    <row r="29" spans="1:16" x14ac:dyDescent="0.25">
      <c r="A29" s="3" t="s">
        <v>41</v>
      </c>
      <c r="B29" s="4">
        <v>18</v>
      </c>
      <c r="C29" s="4">
        <v>12</v>
      </c>
      <c r="D29" s="5">
        <v>52.59</v>
      </c>
      <c r="E29" s="5" t="s">
        <v>0</v>
      </c>
      <c r="F29" s="4">
        <v>23</v>
      </c>
      <c r="G29" s="4">
        <v>51</v>
      </c>
      <c r="H29" s="5">
        <v>28.3</v>
      </c>
      <c r="J29" s="6" t="str">
        <f t="shared" si="1"/>
        <v>-23</v>
      </c>
      <c r="K29" s="6" t="str">
        <f t="shared" si="2"/>
        <v>-51</v>
      </c>
      <c r="L29" s="6" t="str">
        <f t="shared" si="3"/>
        <v>-28,3</v>
      </c>
      <c r="N29" s="2">
        <v>-23</v>
      </c>
      <c r="O29" s="2">
        <v>-51</v>
      </c>
      <c r="P29" s="2">
        <v>-28.3</v>
      </c>
    </row>
    <row r="30" spans="1:16" x14ac:dyDescent="0.25">
      <c r="A30" s="3" t="s">
        <v>42</v>
      </c>
      <c r="B30" s="4">
        <v>18</v>
      </c>
      <c r="C30" s="4">
        <v>16</v>
      </c>
      <c r="D30" s="5">
        <v>3.74</v>
      </c>
      <c r="E30" s="5" t="s">
        <v>0</v>
      </c>
      <c r="F30" s="4">
        <v>23</v>
      </c>
      <c r="G30" s="4">
        <v>51</v>
      </c>
      <c r="H30" s="5">
        <v>5.7</v>
      </c>
      <c r="J30" s="6" t="str">
        <f t="shared" si="1"/>
        <v>-23</v>
      </c>
      <c r="K30" s="6" t="str">
        <f t="shared" si="2"/>
        <v>-51</v>
      </c>
      <c r="L30" s="6" t="str">
        <f t="shared" si="3"/>
        <v>-5,7</v>
      </c>
      <c r="N30" s="2">
        <v>-23</v>
      </c>
      <c r="O30" s="2">
        <v>-51</v>
      </c>
      <c r="P30" s="2">
        <v>-5.7</v>
      </c>
    </row>
    <row r="31" spans="1:16" x14ac:dyDescent="0.25">
      <c r="A31" s="3" t="s">
        <v>43</v>
      </c>
      <c r="B31" s="4">
        <v>18</v>
      </c>
      <c r="C31" s="4">
        <v>19</v>
      </c>
      <c r="D31" s="5">
        <v>15.03</v>
      </c>
      <c r="E31" s="5" t="s">
        <v>0</v>
      </c>
      <c r="F31" s="4">
        <v>23</v>
      </c>
      <c r="G31" s="4">
        <v>50</v>
      </c>
      <c r="H31" s="5">
        <v>28.7</v>
      </c>
      <c r="J31" s="6" t="str">
        <f t="shared" si="1"/>
        <v>-23</v>
      </c>
      <c r="K31" s="6" t="str">
        <f t="shared" si="2"/>
        <v>-50</v>
      </c>
      <c r="L31" s="6" t="str">
        <f t="shared" si="3"/>
        <v>-28,7</v>
      </c>
      <c r="N31" s="2">
        <v>-23</v>
      </c>
      <c r="O31" s="2">
        <v>-50</v>
      </c>
      <c r="P31" s="2">
        <v>-28.7</v>
      </c>
    </row>
    <row r="32" spans="1:16" x14ac:dyDescent="0.25">
      <c r="A32" s="3" t="s">
        <v>44</v>
      </c>
      <c r="B32" s="4">
        <v>18</v>
      </c>
      <c r="C32" s="4">
        <v>22</v>
      </c>
      <c r="D32" s="5">
        <v>26.42</v>
      </c>
      <c r="E32" s="5" t="s">
        <v>0</v>
      </c>
      <c r="F32" s="4">
        <v>23</v>
      </c>
      <c r="G32" s="4">
        <v>49</v>
      </c>
      <c r="H32" s="5">
        <v>37.200000000000003</v>
      </c>
      <c r="J32" s="6" t="str">
        <f t="shared" si="1"/>
        <v>-23</v>
      </c>
      <c r="K32" s="6" t="str">
        <f t="shared" si="2"/>
        <v>-49</v>
      </c>
      <c r="L32" s="6" t="str">
        <f t="shared" si="3"/>
        <v>-37,2</v>
      </c>
      <c r="N32" s="2">
        <v>-23</v>
      </c>
      <c r="O32" s="2">
        <v>-49</v>
      </c>
      <c r="P32" s="2">
        <v>-37.200000000000003</v>
      </c>
    </row>
    <row r="33" spans="1:16" x14ac:dyDescent="0.25">
      <c r="A33" s="3" t="s">
        <v>45</v>
      </c>
      <c r="B33" s="4">
        <v>18</v>
      </c>
      <c r="C33" s="4">
        <v>25</v>
      </c>
      <c r="D33" s="5">
        <v>37.909999999999997</v>
      </c>
      <c r="E33" s="5" t="s">
        <v>0</v>
      </c>
      <c r="F33" s="4">
        <v>23</v>
      </c>
      <c r="G33" s="4">
        <v>48</v>
      </c>
      <c r="H33" s="5">
        <v>31.2</v>
      </c>
      <c r="J33" s="6" t="str">
        <f t="shared" si="1"/>
        <v>-23</v>
      </c>
      <c r="K33" s="6" t="str">
        <f t="shared" si="2"/>
        <v>-48</v>
      </c>
      <c r="L33" s="6" t="str">
        <f t="shared" si="3"/>
        <v>-31,2</v>
      </c>
      <c r="N33" s="2">
        <v>-23</v>
      </c>
      <c r="O33" s="2">
        <v>-48</v>
      </c>
      <c r="P33" s="2">
        <v>-31.2</v>
      </c>
    </row>
    <row r="34" spans="1:16" x14ac:dyDescent="0.25">
      <c r="A34" s="3" t="s">
        <v>46</v>
      </c>
      <c r="B34" s="4">
        <v>18</v>
      </c>
      <c r="C34" s="4">
        <v>28</v>
      </c>
      <c r="D34" s="5">
        <v>49.49</v>
      </c>
      <c r="E34" s="5" t="s">
        <v>0</v>
      </c>
      <c r="F34" s="4">
        <v>23</v>
      </c>
      <c r="G34" s="4">
        <v>47</v>
      </c>
      <c r="H34" s="5">
        <v>10.7</v>
      </c>
      <c r="J34" s="6" t="str">
        <f t="shared" si="1"/>
        <v>-23</v>
      </c>
      <c r="K34" s="6" t="str">
        <f t="shared" si="2"/>
        <v>-47</v>
      </c>
      <c r="L34" s="6" t="str">
        <f t="shared" si="3"/>
        <v>-10,7</v>
      </c>
      <c r="N34" s="2">
        <v>-23</v>
      </c>
      <c r="O34" s="2">
        <v>-47</v>
      </c>
      <c r="P34" s="2">
        <v>-10.7</v>
      </c>
    </row>
    <row r="35" spans="1:16" x14ac:dyDescent="0.25">
      <c r="A35" s="3" t="s">
        <v>47</v>
      </c>
      <c r="B35" s="4">
        <v>18</v>
      </c>
      <c r="C35" s="4">
        <v>32</v>
      </c>
      <c r="D35" s="5">
        <v>1.1299999999999999</v>
      </c>
      <c r="E35" s="5" t="s">
        <v>0</v>
      </c>
      <c r="F35" s="4">
        <v>23</v>
      </c>
      <c r="G35" s="4">
        <v>45</v>
      </c>
      <c r="H35" s="5">
        <v>35.799999999999997</v>
      </c>
      <c r="J35" s="6" t="str">
        <f t="shared" si="1"/>
        <v>-23</v>
      </c>
      <c r="K35" s="6" t="str">
        <f t="shared" si="2"/>
        <v>-45</v>
      </c>
      <c r="L35" s="6" t="str">
        <f t="shared" si="3"/>
        <v>-35,8</v>
      </c>
      <c r="N35" s="2">
        <v>-23</v>
      </c>
      <c r="O35" s="2">
        <v>-45</v>
      </c>
      <c r="P35" s="2">
        <v>-35.799999999999997</v>
      </c>
    </row>
    <row r="36" spans="1:16" x14ac:dyDescent="0.25">
      <c r="A36" s="3" t="s">
        <v>48</v>
      </c>
      <c r="B36" s="4">
        <v>18</v>
      </c>
      <c r="C36" s="4">
        <v>35</v>
      </c>
      <c r="D36" s="5">
        <v>12.83</v>
      </c>
      <c r="E36" s="5" t="s">
        <v>0</v>
      </c>
      <c r="F36" s="4">
        <v>23</v>
      </c>
      <c r="G36" s="4">
        <v>43</v>
      </c>
      <c r="H36" s="5">
        <v>46.3</v>
      </c>
      <c r="J36" s="6" t="str">
        <f t="shared" si="1"/>
        <v>-23</v>
      </c>
      <c r="K36" s="6" t="str">
        <f t="shared" si="2"/>
        <v>-43</v>
      </c>
      <c r="L36" s="6" t="str">
        <f t="shared" si="3"/>
        <v>-46,3</v>
      </c>
      <c r="N36" s="2">
        <v>-23</v>
      </c>
      <c r="O36" s="2">
        <v>-43</v>
      </c>
      <c r="P36" s="2">
        <v>-46.3</v>
      </c>
    </row>
    <row r="37" spans="1:16" x14ac:dyDescent="0.25">
      <c r="A37" s="3" t="s">
        <v>49</v>
      </c>
      <c r="B37" s="4">
        <v>18</v>
      </c>
      <c r="C37" s="4">
        <v>38</v>
      </c>
      <c r="D37" s="5">
        <v>24.57</v>
      </c>
      <c r="E37" s="5" t="s">
        <v>0</v>
      </c>
      <c r="F37" s="4">
        <v>23</v>
      </c>
      <c r="G37" s="4">
        <v>41</v>
      </c>
      <c r="H37" s="5">
        <v>42.3</v>
      </c>
      <c r="J37" s="6" t="str">
        <f t="shared" si="1"/>
        <v>-23</v>
      </c>
      <c r="K37" s="6" t="str">
        <f t="shared" si="2"/>
        <v>-41</v>
      </c>
      <c r="L37" s="6" t="str">
        <f t="shared" si="3"/>
        <v>-42,3</v>
      </c>
      <c r="N37" s="2">
        <v>-23</v>
      </c>
      <c r="O37" s="2">
        <v>-41</v>
      </c>
      <c r="P37" s="2">
        <v>-42.3</v>
      </c>
    </row>
    <row r="38" spans="1:16" x14ac:dyDescent="0.25">
      <c r="A38" s="3" t="s">
        <v>50</v>
      </c>
      <c r="B38" s="4">
        <v>18</v>
      </c>
      <c r="C38" s="4">
        <v>41</v>
      </c>
      <c r="D38" s="5">
        <v>36.340000000000003</v>
      </c>
      <c r="E38" s="5" t="s">
        <v>0</v>
      </c>
      <c r="F38" s="4">
        <v>23</v>
      </c>
      <c r="G38" s="4">
        <v>39</v>
      </c>
      <c r="H38" s="5">
        <v>23.9</v>
      </c>
      <c r="J38" s="6" t="str">
        <f t="shared" si="1"/>
        <v>-23</v>
      </c>
      <c r="K38" s="6" t="str">
        <f t="shared" si="2"/>
        <v>-39</v>
      </c>
      <c r="L38" s="6" t="str">
        <f t="shared" si="3"/>
        <v>-23,9</v>
      </c>
      <c r="N38" s="2">
        <v>-23</v>
      </c>
      <c r="O38" s="2">
        <v>-39</v>
      </c>
      <c r="P38" s="2">
        <v>-23.9</v>
      </c>
    </row>
    <row r="39" spans="1:16" x14ac:dyDescent="0.25">
      <c r="A39" s="3" t="s">
        <v>51</v>
      </c>
      <c r="B39" s="4">
        <v>18</v>
      </c>
      <c r="C39" s="4">
        <v>44</v>
      </c>
      <c r="D39" s="5">
        <v>48.13</v>
      </c>
      <c r="E39" s="5" t="s">
        <v>0</v>
      </c>
      <c r="F39" s="4">
        <v>23</v>
      </c>
      <c r="G39" s="4">
        <v>36</v>
      </c>
      <c r="H39" s="5">
        <v>51</v>
      </c>
      <c r="J39" s="6" t="str">
        <f t="shared" si="1"/>
        <v>-23</v>
      </c>
      <c r="K39" s="6" t="str">
        <f t="shared" si="2"/>
        <v>-36</v>
      </c>
      <c r="L39" s="6" t="str">
        <f t="shared" si="3"/>
        <v>-51</v>
      </c>
      <c r="N39" s="2">
        <v>-23</v>
      </c>
      <c r="O39" s="2">
        <v>-36</v>
      </c>
      <c r="P39" s="2">
        <v>-51</v>
      </c>
    </row>
    <row r="40" spans="1:16" x14ac:dyDescent="0.25">
      <c r="A40" s="3" t="s">
        <v>52</v>
      </c>
      <c r="B40" s="4">
        <v>18</v>
      </c>
      <c r="C40" s="4">
        <v>47</v>
      </c>
      <c r="D40" s="5">
        <v>59.93</v>
      </c>
      <c r="E40" s="5" t="s">
        <v>0</v>
      </c>
      <c r="F40" s="4">
        <v>23</v>
      </c>
      <c r="G40" s="4">
        <v>34</v>
      </c>
      <c r="H40" s="5">
        <v>3.6</v>
      </c>
      <c r="J40" s="6" t="str">
        <f t="shared" si="1"/>
        <v>-23</v>
      </c>
      <c r="K40" s="6" t="str">
        <f t="shared" si="2"/>
        <v>-34</v>
      </c>
      <c r="L40" s="6" t="str">
        <f t="shared" si="3"/>
        <v>-3,6</v>
      </c>
      <c r="N40" s="2">
        <v>-23</v>
      </c>
      <c r="O40" s="2">
        <v>-34</v>
      </c>
      <c r="P40" s="2">
        <v>-3.6</v>
      </c>
    </row>
    <row r="41" spans="1:16" x14ac:dyDescent="0.25">
      <c r="A41" s="3" t="s">
        <v>53</v>
      </c>
      <c r="B41" s="4">
        <v>18</v>
      </c>
      <c r="C41" s="4">
        <v>51</v>
      </c>
      <c r="D41" s="5">
        <v>11.72</v>
      </c>
      <c r="E41" s="5" t="s">
        <v>0</v>
      </c>
      <c r="F41" s="4">
        <v>23</v>
      </c>
      <c r="G41" s="4">
        <v>31</v>
      </c>
      <c r="H41" s="5">
        <v>1.7</v>
      </c>
      <c r="J41" s="6" t="str">
        <f t="shared" si="1"/>
        <v>-23</v>
      </c>
      <c r="K41" s="6" t="str">
        <f t="shared" si="2"/>
        <v>-31</v>
      </c>
      <c r="L41" s="6" t="str">
        <f t="shared" si="3"/>
        <v>-1,7</v>
      </c>
      <c r="N41" s="2">
        <v>-23</v>
      </c>
      <c r="O41" s="2">
        <v>-31</v>
      </c>
      <c r="P41" s="2">
        <v>-1.7</v>
      </c>
    </row>
    <row r="42" spans="1:16" x14ac:dyDescent="0.25">
      <c r="A42" s="3" t="s">
        <v>54</v>
      </c>
      <c r="B42" s="4">
        <v>18</v>
      </c>
      <c r="C42" s="4">
        <v>54</v>
      </c>
      <c r="D42" s="5">
        <v>23.5</v>
      </c>
      <c r="E42" s="5" t="s">
        <v>0</v>
      </c>
      <c r="F42" s="4">
        <v>23</v>
      </c>
      <c r="G42" s="4">
        <v>27</v>
      </c>
      <c r="H42" s="5">
        <v>45.5</v>
      </c>
      <c r="J42" s="6" t="str">
        <f t="shared" si="1"/>
        <v>-23</v>
      </c>
      <c r="K42" s="6" t="str">
        <f t="shared" si="2"/>
        <v>-27</v>
      </c>
      <c r="L42" s="6" t="str">
        <f t="shared" si="3"/>
        <v>-45,5</v>
      </c>
      <c r="N42" s="2">
        <v>-23</v>
      </c>
      <c r="O42" s="2">
        <v>-27</v>
      </c>
      <c r="P42" s="2">
        <v>-45.5</v>
      </c>
    </row>
    <row r="43" spans="1:16" x14ac:dyDescent="0.25">
      <c r="A43" s="3" t="s">
        <v>55</v>
      </c>
      <c r="B43" s="4">
        <v>18</v>
      </c>
      <c r="C43" s="4">
        <v>57</v>
      </c>
      <c r="D43" s="5">
        <v>35.25</v>
      </c>
      <c r="E43" s="5" t="s">
        <v>0</v>
      </c>
      <c r="F43" s="4">
        <v>23</v>
      </c>
      <c r="G43" s="4">
        <v>24</v>
      </c>
      <c r="H43" s="5">
        <v>14.8</v>
      </c>
      <c r="J43" s="6" t="str">
        <f t="shared" si="1"/>
        <v>-23</v>
      </c>
      <c r="K43" s="6" t="str">
        <f t="shared" si="2"/>
        <v>-24</v>
      </c>
      <c r="L43" s="6" t="str">
        <f t="shared" si="3"/>
        <v>-14,8</v>
      </c>
      <c r="N43" s="2">
        <v>-23</v>
      </c>
      <c r="O43" s="2">
        <v>-24</v>
      </c>
      <c r="P43" s="2">
        <v>-14.8</v>
      </c>
    </row>
    <row r="44" spans="1:16" x14ac:dyDescent="0.25">
      <c r="A44" s="3" t="s">
        <v>56</v>
      </c>
      <c r="B44" s="4">
        <v>19</v>
      </c>
      <c r="C44" s="4">
        <v>0</v>
      </c>
      <c r="D44" s="5">
        <v>46.96</v>
      </c>
      <c r="E44" s="5" t="s">
        <v>0</v>
      </c>
      <c r="F44" s="4">
        <v>23</v>
      </c>
      <c r="G44" s="4">
        <v>20</v>
      </c>
      <c r="H44" s="5">
        <v>29.8</v>
      </c>
      <c r="J44" s="6" t="str">
        <f t="shared" si="1"/>
        <v>-23</v>
      </c>
      <c r="K44" s="6" t="str">
        <f t="shared" si="2"/>
        <v>-20</v>
      </c>
      <c r="L44" s="6" t="str">
        <f t="shared" si="3"/>
        <v>-29,8</v>
      </c>
      <c r="N44" s="2">
        <v>-23</v>
      </c>
      <c r="O44" s="2">
        <v>-20</v>
      </c>
      <c r="P44" s="2">
        <v>-29.8</v>
      </c>
    </row>
    <row r="45" spans="1:16" x14ac:dyDescent="0.25">
      <c r="A45" s="3" t="s">
        <v>57</v>
      </c>
      <c r="B45" s="4">
        <v>19</v>
      </c>
      <c r="C45" s="4">
        <v>3</v>
      </c>
      <c r="D45" s="5">
        <v>58.63</v>
      </c>
      <c r="E45" s="5" t="s">
        <v>0</v>
      </c>
      <c r="F45" s="4">
        <v>23</v>
      </c>
      <c r="G45" s="4">
        <v>16</v>
      </c>
      <c r="H45" s="5">
        <v>30.4</v>
      </c>
      <c r="J45" s="6" t="str">
        <f t="shared" si="1"/>
        <v>-23</v>
      </c>
      <c r="K45" s="6" t="str">
        <f t="shared" si="2"/>
        <v>-16</v>
      </c>
      <c r="L45" s="6" t="str">
        <f t="shared" si="3"/>
        <v>-30,4</v>
      </c>
      <c r="N45" s="2">
        <v>-23</v>
      </c>
      <c r="O45" s="2">
        <v>-16</v>
      </c>
      <c r="P45" s="2">
        <v>-30.4</v>
      </c>
    </row>
    <row r="46" spans="1:16" x14ac:dyDescent="0.25">
      <c r="A46" s="3" t="s">
        <v>58</v>
      </c>
      <c r="B46" s="4">
        <v>19</v>
      </c>
      <c r="C46" s="4">
        <v>7</v>
      </c>
      <c r="D46" s="5">
        <v>10.25</v>
      </c>
      <c r="E46" s="5" t="s">
        <v>0</v>
      </c>
      <c r="F46" s="4">
        <v>23</v>
      </c>
      <c r="G46" s="4">
        <v>12</v>
      </c>
      <c r="H46" s="5">
        <v>16.8</v>
      </c>
      <c r="J46" s="6" t="str">
        <f t="shared" si="1"/>
        <v>-23</v>
      </c>
      <c r="K46" s="6" t="str">
        <f t="shared" si="2"/>
        <v>-12</v>
      </c>
      <c r="L46" s="6" t="str">
        <f t="shared" si="3"/>
        <v>-16,8</v>
      </c>
      <c r="N46" s="2">
        <v>-23</v>
      </c>
      <c r="O46" s="2">
        <v>-12</v>
      </c>
      <c r="P46" s="2">
        <v>-16.8</v>
      </c>
    </row>
    <row r="47" spans="1:16" x14ac:dyDescent="0.25">
      <c r="A47" s="3" t="s">
        <v>59</v>
      </c>
      <c r="B47" s="4">
        <v>19</v>
      </c>
      <c r="C47" s="4">
        <v>10</v>
      </c>
      <c r="D47" s="5">
        <v>21.79</v>
      </c>
      <c r="E47" s="5" t="s">
        <v>0</v>
      </c>
      <c r="F47" s="4">
        <v>23</v>
      </c>
      <c r="G47" s="4">
        <v>7</v>
      </c>
      <c r="H47" s="5">
        <v>48.9</v>
      </c>
      <c r="J47" s="6" t="str">
        <f t="shared" si="1"/>
        <v>-23</v>
      </c>
      <c r="K47" s="6" t="str">
        <f t="shared" si="2"/>
        <v>-7</v>
      </c>
      <c r="L47" s="6" t="str">
        <f t="shared" si="3"/>
        <v>-48,9</v>
      </c>
      <c r="N47" s="2">
        <v>-23</v>
      </c>
      <c r="O47" s="2">
        <v>-7</v>
      </c>
      <c r="P47" s="2">
        <v>-48.9</v>
      </c>
    </row>
    <row r="48" spans="1:16" x14ac:dyDescent="0.25">
      <c r="A48" s="3" t="s">
        <v>60</v>
      </c>
      <c r="B48" s="4">
        <v>19</v>
      </c>
      <c r="C48" s="4">
        <v>13</v>
      </c>
      <c r="D48" s="5">
        <v>33.26</v>
      </c>
      <c r="E48" s="5" t="s">
        <v>0</v>
      </c>
      <c r="F48" s="4">
        <v>23</v>
      </c>
      <c r="G48" s="4">
        <v>3</v>
      </c>
      <c r="H48" s="5">
        <v>6.7</v>
      </c>
      <c r="J48" s="6" t="str">
        <f t="shared" si="1"/>
        <v>-23</v>
      </c>
      <c r="K48" s="6" t="str">
        <f t="shared" si="2"/>
        <v>-3</v>
      </c>
      <c r="L48" s="6" t="str">
        <f t="shared" si="3"/>
        <v>-6,7</v>
      </c>
      <c r="N48" s="2">
        <v>-23</v>
      </c>
      <c r="O48" s="2">
        <v>-3</v>
      </c>
      <c r="P48" s="2">
        <v>-6.7</v>
      </c>
    </row>
    <row r="49" spans="1:16" x14ac:dyDescent="0.25">
      <c r="A49" s="3" t="s">
        <v>61</v>
      </c>
      <c r="B49" s="4">
        <v>19</v>
      </c>
      <c r="C49" s="4">
        <v>16</v>
      </c>
      <c r="D49" s="5">
        <v>44.65</v>
      </c>
      <c r="E49" s="5" t="s">
        <v>0</v>
      </c>
      <c r="F49" s="4">
        <v>22</v>
      </c>
      <c r="G49" s="4">
        <v>58</v>
      </c>
      <c r="H49" s="5">
        <v>10.4</v>
      </c>
      <c r="J49" s="6" t="str">
        <f t="shared" si="1"/>
        <v>-22</v>
      </c>
      <c r="K49" s="6" t="str">
        <f t="shared" si="2"/>
        <v>-58</v>
      </c>
      <c r="L49" s="6" t="str">
        <f t="shared" si="3"/>
        <v>-10,4</v>
      </c>
      <c r="N49" s="2">
        <v>-22</v>
      </c>
      <c r="O49" s="2">
        <v>-58</v>
      </c>
      <c r="P49" s="2">
        <v>-10.4</v>
      </c>
    </row>
    <row r="50" spans="1:16" x14ac:dyDescent="0.25">
      <c r="A50" s="3" t="s">
        <v>62</v>
      </c>
      <c r="B50" s="4">
        <v>19</v>
      </c>
      <c r="C50" s="4">
        <v>19</v>
      </c>
      <c r="D50" s="5">
        <v>55.94</v>
      </c>
      <c r="E50" s="5" t="s">
        <v>0</v>
      </c>
      <c r="F50" s="4">
        <v>22</v>
      </c>
      <c r="G50" s="4">
        <v>52</v>
      </c>
      <c r="H50" s="5">
        <v>59.9</v>
      </c>
      <c r="J50" s="6" t="str">
        <f t="shared" si="1"/>
        <v>-22</v>
      </c>
      <c r="K50" s="6" t="str">
        <f t="shared" si="2"/>
        <v>-52</v>
      </c>
      <c r="L50" s="6" t="str">
        <f t="shared" si="3"/>
        <v>-59,9</v>
      </c>
      <c r="N50" s="2">
        <v>-22</v>
      </c>
      <c r="O50" s="2">
        <v>-52</v>
      </c>
      <c r="P50" s="2">
        <v>-59.9</v>
      </c>
    </row>
    <row r="51" spans="1:16" x14ac:dyDescent="0.25">
      <c r="A51" s="3" t="s">
        <v>63</v>
      </c>
      <c r="B51" s="4">
        <v>19</v>
      </c>
      <c r="C51" s="4">
        <v>23</v>
      </c>
      <c r="D51" s="5">
        <v>7.12</v>
      </c>
      <c r="E51" s="5" t="s">
        <v>0</v>
      </c>
      <c r="F51" s="4">
        <v>22</v>
      </c>
      <c r="G51" s="4">
        <v>47</v>
      </c>
      <c r="H51" s="5">
        <v>35.4</v>
      </c>
      <c r="J51" s="6" t="str">
        <f t="shared" si="1"/>
        <v>-22</v>
      </c>
      <c r="K51" s="6" t="str">
        <f t="shared" si="2"/>
        <v>-47</v>
      </c>
      <c r="L51" s="6" t="str">
        <f t="shared" si="3"/>
        <v>-35,4</v>
      </c>
      <c r="N51" s="2">
        <v>-22</v>
      </c>
      <c r="O51" s="2">
        <v>-47</v>
      </c>
      <c r="P51" s="2">
        <v>-35.4</v>
      </c>
    </row>
    <row r="52" spans="1:16" x14ac:dyDescent="0.25">
      <c r="A52" s="3" t="s">
        <v>64</v>
      </c>
      <c r="B52" s="4">
        <v>19</v>
      </c>
      <c r="C52" s="4">
        <v>26</v>
      </c>
      <c r="D52" s="5">
        <v>18.190000000000001</v>
      </c>
      <c r="E52" s="5" t="s">
        <v>0</v>
      </c>
      <c r="F52" s="4">
        <v>22</v>
      </c>
      <c r="G52" s="4">
        <v>41</v>
      </c>
      <c r="H52" s="5">
        <v>56.8</v>
      </c>
      <c r="J52" s="6" t="str">
        <f t="shared" si="1"/>
        <v>-22</v>
      </c>
      <c r="K52" s="6" t="str">
        <f t="shared" si="2"/>
        <v>-41</v>
      </c>
      <c r="L52" s="6" t="str">
        <f t="shared" si="3"/>
        <v>-56,8</v>
      </c>
      <c r="N52" s="2">
        <v>-22</v>
      </c>
      <c r="O52" s="2">
        <v>-41</v>
      </c>
      <c r="P52" s="2">
        <v>-56.8</v>
      </c>
    </row>
    <row r="53" spans="1:16" x14ac:dyDescent="0.25">
      <c r="A53" s="3" t="s">
        <v>65</v>
      </c>
      <c r="B53" s="4">
        <v>19</v>
      </c>
      <c r="C53" s="4">
        <v>29</v>
      </c>
      <c r="D53" s="5">
        <v>29.14</v>
      </c>
      <c r="E53" s="5" t="s">
        <v>0</v>
      </c>
      <c r="F53" s="4">
        <v>22</v>
      </c>
      <c r="G53" s="4">
        <v>36</v>
      </c>
      <c r="H53" s="5">
        <v>4.2</v>
      </c>
      <c r="J53" s="6" t="str">
        <f t="shared" si="1"/>
        <v>-22</v>
      </c>
      <c r="K53" s="6" t="str">
        <f t="shared" si="2"/>
        <v>-36</v>
      </c>
      <c r="L53" s="6" t="str">
        <f t="shared" si="3"/>
        <v>-4,2</v>
      </c>
      <c r="N53" s="2">
        <v>-22</v>
      </c>
      <c r="O53" s="2">
        <v>-36</v>
      </c>
      <c r="P53" s="2">
        <v>-4.2</v>
      </c>
    </row>
    <row r="54" spans="1:16" x14ac:dyDescent="0.25">
      <c r="A54" s="3" t="s">
        <v>66</v>
      </c>
      <c r="B54" s="4">
        <v>19</v>
      </c>
      <c r="C54" s="4">
        <v>32</v>
      </c>
      <c r="D54" s="5">
        <v>39.94</v>
      </c>
      <c r="E54" s="5" t="s">
        <v>0</v>
      </c>
      <c r="F54" s="4">
        <v>22</v>
      </c>
      <c r="G54" s="4">
        <v>29</v>
      </c>
      <c r="H54" s="5">
        <v>57.8</v>
      </c>
      <c r="J54" s="6" t="str">
        <f t="shared" si="1"/>
        <v>-22</v>
      </c>
      <c r="K54" s="6" t="str">
        <f t="shared" si="2"/>
        <v>-29</v>
      </c>
      <c r="L54" s="6" t="str">
        <f t="shared" si="3"/>
        <v>-57,8</v>
      </c>
      <c r="N54" s="2">
        <v>-22</v>
      </c>
      <c r="O54" s="2">
        <v>-29</v>
      </c>
      <c r="P54" s="2">
        <v>-57.8</v>
      </c>
    </row>
    <row r="55" spans="1:16" x14ac:dyDescent="0.25">
      <c r="A55" s="3" t="s">
        <v>67</v>
      </c>
      <c r="B55" s="4">
        <v>19</v>
      </c>
      <c r="C55" s="4">
        <v>35</v>
      </c>
      <c r="D55" s="5">
        <v>50.6</v>
      </c>
      <c r="E55" s="5" t="s">
        <v>0</v>
      </c>
      <c r="F55" s="4">
        <v>22</v>
      </c>
      <c r="G55" s="4">
        <v>23</v>
      </c>
      <c r="H55" s="5">
        <v>37.5</v>
      </c>
      <c r="J55" s="6" t="str">
        <f t="shared" si="1"/>
        <v>-22</v>
      </c>
      <c r="K55" s="6" t="str">
        <f t="shared" si="2"/>
        <v>-23</v>
      </c>
      <c r="L55" s="6" t="str">
        <f t="shared" si="3"/>
        <v>-37,5</v>
      </c>
      <c r="N55" s="2">
        <v>-22</v>
      </c>
      <c r="O55" s="2">
        <v>-23</v>
      </c>
      <c r="P55" s="2">
        <v>-37.5</v>
      </c>
    </row>
    <row r="56" spans="1:16" x14ac:dyDescent="0.25">
      <c r="A56" s="3" t="s">
        <v>68</v>
      </c>
      <c r="B56" s="4">
        <v>19</v>
      </c>
      <c r="C56" s="4">
        <v>39</v>
      </c>
      <c r="D56" s="5">
        <v>1.1000000000000001</v>
      </c>
      <c r="E56" s="5" t="s">
        <v>0</v>
      </c>
      <c r="F56" s="4">
        <v>22</v>
      </c>
      <c r="G56" s="4">
        <v>17</v>
      </c>
      <c r="H56" s="5">
        <v>3.4</v>
      </c>
      <c r="J56" s="6" t="str">
        <f t="shared" si="1"/>
        <v>-22</v>
      </c>
      <c r="K56" s="6" t="str">
        <f t="shared" si="2"/>
        <v>-17</v>
      </c>
      <c r="L56" s="6" t="str">
        <f t="shared" si="3"/>
        <v>-3,4</v>
      </c>
      <c r="N56" s="2">
        <v>-22</v>
      </c>
      <c r="O56" s="2">
        <v>-17</v>
      </c>
      <c r="P56" s="2">
        <v>-3.4</v>
      </c>
    </row>
    <row r="57" spans="1:16" x14ac:dyDescent="0.25">
      <c r="A57" s="3" t="s">
        <v>69</v>
      </c>
      <c r="B57" s="4">
        <v>19</v>
      </c>
      <c r="C57" s="4">
        <v>42</v>
      </c>
      <c r="D57" s="5">
        <v>11.43</v>
      </c>
      <c r="E57" s="5" t="s">
        <v>0</v>
      </c>
      <c r="F57" s="4">
        <v>22</v>
      </c>
      <c r="G57" s="4">
        <v>10</v>
      </c>
      <c r="H57" s="5">
        <v>15.6</v>
      </c>
      <c r="J57" s="6" t="str">
        <f t="shared" si="1"/>
        <v>-22</v>
      </c>
      <c r="K57" s="6" t="str">
        <f t="shared" si="2"/>
        <v>-10</v>
      </c>
      <c r="L57" s="6" t="str">
        <f t="shared" si="3"/>
        <v>-15,6</v>
      </c>
      <c r="N57" s="2">
        <v>-22</v>
      </c>
      <c r="O57" s="2">
        <v>-10</v>
      </c>
      <c r="P57" s="2">
        <v>-15.6</v>
      </c>
    </row>
    <row r="58" spans="1:16" x14ac:dyDescent="0.25">
      <c r="A58" s="3" t="s">
        <v>70</v>
      </c>
      <c r="B58" s="4">
        <v>19</v>
      </c>
      <c r="C58" s="4">
        <v>45</v>
      </c>
      <c r="D58" s="5">
        <v>21.58</v>
      </c>
      <c r="E58" s="5" t="s">
        <v>0</v>
      </c>
      <c r="F58" s="4">
        <v>22</v>
      </c>
      <c r="G58" s="4">
        <v>3</v>
      </c>
      <c r="H58" s="5">
        <v>14.2</v>
      </c>
      <c r="J58" s="6" t="str">
        <f t="shared" si="1"/>
        <v>-22</v>
      </c>
      <c r="K58" s="6" t="str">
        <f t="shared" si="2"/>
        <v>-3</v>
      </c>
      <c r="L58" s="6" t="str">
        <f t="shared" si="3"/>
        <v>-14,2</v>
      </c>
      <c r="N58" s="2">
        <v>-22</v>
      </c>
      <c r="O58" s="2">
        <v>-3</v>
      </c>
      <c r="P58" s="2">
        <v>-14.2</v>
      </c>
    </row>
    <row r="59" spans="1:16" x14ac:dyDescent="0.25">
      <c r="A59" s="3" t="s">
        <v>71</v>
      </c>
      <c r="B59" s="4">
        <v>19</v>
      </c>
      <c r="C59" s="4">
        <v>48</v>
      </c>
      <c r="D59" s="5">
        <v>31.52</v>
      </c>
      <c r="E59" s="5" t="s">
        <v>0</v>
      </c>
      <c r="F59" s="4">
        <v>21</v>
      </c>
      <c r="G59" s="4">
        <v>55</v>
      </c>
      <c r="H59" s="5">
        <v>59.3</v>
      </c>
      <c r="J59" s="6" t="str">
        <f t="shared" si="1"/>
        <v>-21</v>
      </c>
      <c r="K59" s="6" t="str">
        <f t="shared" si="2"/>
        <v>-55</v>
      </c>
      <c r="L59" s="6" t="str">
        <f t="shared" si="3"/>
        <v>-59,3</v>
      </c>
      <c r="N59" s="2">
        <v>-21</v>
      </c>
      <c r="O59" s="2">
        <v>-55</v>
      </c>
      <c r="P59" s="2">
        <v>-59.3</v>
      </c>
    </row>
    <row r="60" spans="1:16" x14ac:dyDescent="0.25">
      <c r="A60" s="3" t="s">
        <v>72</v>
      </c>
      <c r="B60" s="4">
        <v>19</v>
      </c>
      <c r="C60" s="4">
        <v>51</v>
      </c>
      <c r="D60" s="5">
        <v>41.27</v>
      </c>
      <c r="E60" s="5" t="s">
        <v>0</v>
      </c>
      <c r="F60" s="4">
        <v>21</v>
      </c>
      <c r="G60" s="4">
        <v>48</v>
      </c>
      <c r="H60" s="5">
        <v>30.9</v>
      </c>
      <c r="J60" s="6" t="str">
        <f t="shared" si="1"/>
        <v>-21</v>
      </c>
      <c r="K60" s="6" t="str">
        <f t="shared" si="2"/>
        <v>-48</v>
      </c>
      <c r="L60" s="6" t="str">
        <f t="shared" si="3"/>
        <v>-30,9</v>
      </c>
      <c r="N60" s="2">
        <v>-21</v>
      </c>
      <c r="O60" s="2">
        <v>-48</v>
      </c>
      <c r="P60" s="2">
        <v>-30.9</v>
      </c>
    </row>
    <row r="61" spans="1:16" x14ac:dyDescent="0.25">
      <c r="A61" s="3" t="s">
        <v>73</v>
      </c>
      <c r="B61" s="4">
        <v>19</v>
      </c>
      <c r="C61" s="4">
        <v>54</v>
      </c>
      <c r="D61" s="5">
        <v>50.79</v>
      </c>
      <c r="E61" s="5" t="s">
        <v>0</v>
      </c>
      <c r="F61" s="4">
        <v>21</v>
      </c>
      <c r="G61" s="4">
        <v>40</v>
      </c>
      <c r="H61" s="5">
        <v>49.2</v>
      </c>
      <c r="J61" s="6" t="str">
        <f t="shared" si="1"/>
        <v>-21</v>
      </c>
      <c r="K61" s="6" t="str">
        <f t="shared" si="2"/>
        <v>-40</v>
      </c>
      <c r="L61" s="6" t="str">
        <f t="shared" si="3"/>
        <v>-49,2</v>
      </c>
      <c r="N61" s="2">
        <v>-21</v>
      </c>
      <c r="O61" s="2">
        <v>-40</v>
      </c>
      <c r="P61" s="2">
        <v>-49.2</v>
      </c>
    </row>
    <row r="62" spans="1:16" x14ac:dyDescent="0.25">
      <c r="A62" s="3" t="s">
        <v>74</v>
      </c>
      <c r="B62" s="4">
        <v>19</v>
      </c>
      <c r="C62" s="4">
        <v>58</v>
      </c>
      <c r="D62" s="5">
        <v>0.08</v>
      </c>
      <c r="E62" s="5" t="s">
        <v>0</v>
      </c>
      <c r="F62" s="4">
        <v>21</v>
      </c>
      <c r="G62" s="4">
        <v>32</v>
      </c>
      <c r="H62" s="5">
        <v>54.3</v>
      </c>
      <c r="J62" s="6" t="str">
        <f t="shared" si="1"/>
        <v>-21</v>
      </c>
      <c r="K62" s="6" t="str">
        <f t="shared" si="2"/>
        <v>-32</v>
      </c>
      <c r="L62" s="6" t="str">
        <f t="shared" si="3"/>
        <v>-54,3</v>
      </c>
      <c r="N62" s="2">
        <v>-21</v>
      </c>
      <c r="O62" s="2">
        <v>-32</v>
      </c>
      <c r="P62" s="2">
        <v>-54.3</v>
      </c>
    </row>
    <row r="63" spans="1:16" x14ac:dyDescent="0.25">
      <c r="A63" s="3" t="s">
        <v>75</v>
      </c>
      <c r="B63" s="4">
        <v>20</v>
      </c>
      <c r="C63" s="4">
        <v>1</v>
      </c>
      <c r="D63" s="5">
        <v>9.1300000000000008</v>
      </c>
      <c r="E63" s="5" t="s">
        <v>0</v>
      </c>
      <c r="F63" s="4">
        <v>21</v>
      </c>
      <c r="G63" s="4">
        <v>24</v>
      </c>
      <c r="H63" s="5">
        <v>46.2</v>
      </c>
      <c r="J63" s="6" t="str">
        <f t="shared" si="1"/>
        <v>-21</v>
      </c>
      <c r="K63" s="6" t="str">
        <f t="shared" si="2"/>
        <v>-24</v>
      </c>
      <c r="L63" s="6" t="str">
        <f t="shared" si="3"/>
        <v>-46,2</v>
      </c>
      <c r="N63" s="2">
        <v>-21</v>
      </c>
      <c r="O63" s="2">
        <v>-24</v>
      </c>
      <c r="P63" s="2">
        <v>-46.2</v>
      </c>
    </row>
    <row r="64" spans="1:16" x14ac:dyDescent="0.25">
      <c r="A64" s="3" t="s">
        <v>76</v>
      </c>
      <c r="B64" s="4">
        <v>20</v>
      </c>
      <c r="C64" s="4">
        <v>4</v>
      </c>
      <c r="D64" s="5">
        <v>17.93</v>
      </c>
      <c r="E64" s="5" t="s">
        <v>0</v>
      </c>
      <c r="F64" s="4">
        <v>21</v>
      </c>
      <c r="G64" s="4">
        <v>16</v>
      </c>
      <c r="H64" s="5">
        <v>25.1</v>
      </c>
      <c r="J64" s="6" t="str">
        <f t="shared" si="1"/>
        <v>-21</v>
      </c>
      <c r="K64" s="6" t="str">
        <f t="shared" si="2"/>
        <v>-16</v>
      </c>
      <c r="L64" s="6" t="str">
        <f t="shared" si="3"/>
        <v>-25,1</v>
      </c>
      <c r="N64" s="2">
        <v>-21</v>
      </c>
      <c r="O64" s="2">
        <v>-16</v>
      </c>
      <c r="P64" s="2">
        <v>-25.1</v>
      </c>
    </row>
    <row r="65" spans="1:16" x14ac:dyDescent="0.25">
      <c r="A65" s="3" t="s">
        <v>77</v>
      </c>
      <c r="B65" s="4">
        <v>20</v>
      </c>
      <c r="C65" s="4">
        <v>7</v>
      </c>
      <c r="D65" s="5">
        <v>26.47</v>
      </c>
      <c r="E65" s="5" t="s">
        <v>0</v>
      </c>
      <c r="F65" s="4">
        <v>21</v>
      </c>
      <c r="G65" s="4">
        <v>7</v>
      </c>
      <c r="H65" s="5">
        <v>51.1</v>
      </c>
      <c r="J65" s="6" t="str">
        <f t="shared" si="1"/>
        <v>-21</v>
      </c>
      <c r="K65" s="6" t="str">
        <f t="shared" si="2"/>
        <v>-7</v>
      </c>
      <c r="L65" s="6" t="str">
        <f t="shared" si="3"/>
        <v>-51,1</v>
      </c>
      <c r="N65" s="2">
        <v>-21</v>
      </c>
      <c r="O65" s="2">
        <v>-7</v>
      </c>
      <c r="P65" s="2">
        <v>-51.1</v>
      </c>
    </row>
    <row r="66" spans="1:16" x14ac:dyDescent="0.25">
      <c r="A66" s="3" t="s">
        <v>78</v>
      </c>
      <c r="B66" s="4">
        <v>20</v>
      </c>
      <c r="C66" s="4">
        <v>10</v>
      </c>
      <c r="D66" s="5">
        <v>34.75</v>
      </c>
      <c r="E66" s="5" t="s">
        <v>0</v>
      </c>
      <c r="F66" s="4">
        <v>20</v>
      </c>
      <c r="G66" s="4">
        <v>59</v>
      </c>
      <c r="H66" s="5">
        <v>4.3</v>
      </c>
      <c r="J66" s="6" t="str">
        <f t="shared" ref="J66:J129" si="4">$E66&amp;F66</f>
        <v>-20</v>
      </c>
      <c r="K66" s="6" t="str">
        <f t="shared" ref="K66:K129" si="5">$E66&amp;G66</f>
        <v>-59</v>
      </c>
      <c r="L66" s="6" t="str">
        <f t="shared" ref="L66:L129" si="6">$E66&amp;H66</f>
        <v>-4,3</v>
      </c>
      <c r="N66" s="2">
        <v>-20</v>
      </c>
      <c r="O66" s="2">
        <v>-59</v>
      </c>
      <c r="P66" s="2">
        <v>-4.3</v>
      </c>
    </row>
    <row r="67" spans="1:16" x14ac:dyDescent="0.25">
      <c r="A67" s="3" t="s">
        <v>79</v>
      </c>
      <c r="B67" s="4">
        <v>20</v>
      </c>
      <c r="C67" s="4">
        <v>13</v>
      </c>
      <c r="D67" s="5">
        <v>42.75</v>
      </c>
      <c r="E67" s="5" t="s">
        <v>0</v>
      </c>
      <c r="F67" s="4">
        <v>20</v>
      </c>
      <c r="G67" s="4">
        <v>50</v>
      </c>
      <c r="H67" s="5">
        <v>4.8</v>
      </c>
      <c r="J67" s="6" t="str">
        <f t="shared" si="4"/>
        <v>-20</v>
      </c>
      <c r="K67" s="6" t="str">
        <f t="shared" si="5"/>
        <v>-50</v>
      </c>
      <c r="L67" s="6" t="str">
        <f t="shared" si="6"/>
        <v>-4,8</v>
      </c>
      <c r="N67" s="2">
        <v>-20</v>
      </c>
      <c r="O67" s="2">
        <v>-50</v>
      </c>
      <c r="P67" s="2">
        <v>-4.8</v>
      </c>
    </row>
    <row r="68" spans="1:16" x14ac:dyDescent="0.25">
      <c r="A68" s="3" t="s">
        <v>80</v>
      </c>
      <c r="B68" s="4">
        <v>20</v>
      </c>
      <c r="C68" s="4">
        <v>16</v>
      </c>
      <c r="D68" s="5">
        <v>50.47</v>
      </c>
      <c r="E68" s="5" t="s">
        <v>0</v>
      </c>
      <c r="F68" s="4">
        <v>20</v>
      </c>
      <c r="G68" s="4">
        <v>40</v>
      </c>
      <c r="H68" s="5">
        <v>52.7</v>
      </c>
      <c r="J68" s="6" t="str">
        <f t="shared" si="4"/>
        <v>-20</v>
      </c>
      <c r="K68" s="6" t="str">
        <f t="shared" si="5"/>
        <v>-40</v>
      </c>
      <c r="L68" s="6" t="str">
        <f t="shared" si="6"/>
        <v>-52,7</v>
      </c>
      <c r="N68" s="2">
        <v>-20</v>
      </c>
      <c r="O68" s="2">
        <v>-40</v>
      </c>
      <c r="P68" s="2">
        <v>-52.7</v>
      </c>
    </row>
    <row r="69" spans="1:16" x14ac:dyDescent="0.25">
      <c r="A69" s="3" t="s">
        <v>81</v>
      </c>
      <c r="B69" s="4">
        <v>20</v>
      </c>
      <c r="C69" s="4">
        <v>19</v>
      </c>
      <c r="D69" s="5">
        <v>57.9</v>
      </c>
      <c r="E69" s="5" t="s">
        <v>0</v>
      </c>
      <c r="F69" s="4">
        <v>20</v>
      </c>
      <c r="G69" s="4">
        <v>31</v>
      </c>
      <c r="H69" s="5">
        <v>28.2</v>
      </c>
      <c r="J69" s="6" t="str">
        <f t="shared" si="4"/>
        <v>-20</v>
      </c>
      <c r="K69" s="6" t="str">
        <f t="shared" si="5"/>
        <v>-31</v>
      </c>
      <c r="L69" s="6" t="str">
        <f t="shared" si="6"/>
        <v>-28,2</v>
      </c>
      <c r="N69" s="2">
        <v>-20</v>
      </c>
      <c r="O69" s="2">
        <v>-31</v>
      </c>
      <c r="P69" s="2">
        <v>-28.2</v>
      </c>
    </row>
    <row r="70" spans="1:16" x14ac:dyDescent="0.25">
      <c r="A70" s="3" t="s">
        <v>82</v>
      </c>
      <c r="B70" s="4">
        <v>20</v>
      </c>
      <c r="C70" s="4">
        <v>23</v>
      </c>
      <c r="D70" s="5">
        <v>5.05</v>
      </c>
      <c r="E70" s="5" t="s">
        <v>0</v>
      </c>
      <c r="F70" s="4">
        <v>20</v>
      </c>
      <c r="G70" s="4">
        <v>21</v>
      </c>
      <c r="H70" s="5">
        <v>51.3</v>
      </c>
      <c r="J70" s="6" t="str">
        <f t="shared" si="4"/>
        <v>-20</v>
      </c>
      <c r="K70" s="6" t="str">
        <f t="shared" si="5"/>
        <v>-21</v>
      </c>
      <c r="L70" s="6" t="str">
        <f t="shared" si="6"/>
        <v>-51,3</v>
      </c>
      <c r="N70" s="2">
        <v>-20</v>
      </c>
      <c r="O70" s="2">
        <v>-21</v>
      </c>
      <c r="P70" s="2">
        <v>-51.3</v>
      </c>
    </row>
    <row r="71" spans="1:16" x14ac:dyDescent="0.25">
      <c r="A71" s="3" t="s">
        <v>83</v>
      </c>
      <c r="B71" s="4">
        <v>20</v>
      </c>
      <c r="C71" s="4">
        <v>26</v>
      </c>
      <c r="D71" s="5">
        <v>11.89</v>
      </c>
      <c r="E71" s="5" t="s">
        <v>0</v>
      </c>
      <c r="F71" s="4">
        <v>20</v>
      </c>
      <c r="G71" s="4">
        <v>12</v>
      </c>
      <c r="H71" s="5">
        <v>2.2999999999999998</v>
      </c>
      <c r="J71" s="6" t="str">
        <f t="shared" si="4"/>
        <v>-20</v>
      </c>
      <c r="K71" s="6" t="str">
        <f t="shared" si="5"/>
        <v>-12</v>
      </c>
      <c r="L71" s="6" t="str">
        <f t="shared" si="6"/>
        <v>-2,3</v>
      </c>
      <c r="N71" s="2">
        <v>-20</v>
      </c>
      <c r="O71" s="2">
        <v>-12</v>
      </c>
      <c r="P71" s="2">
        <v>-2.2999999999999998</v>
      </c>
    </row>
    <row r="72" spans="1:16" x14ac:dyDescent="0.25">
      <c r="A72" s="3" t="s">
        <v>84</v>
      </c>
      <c r="B72" s="4">
        <v>20</v>
      </c>
      <c r="C72" s="4">
        <v>29</v>
      </c>
      <c r="D72" s="5">
        <v>18.440000000000001</v>
      </c>
      <c r="E72" s="5" t="s">
        <v>0</v>
      </c>
      <c r="F72" s="4">
        <v>20</v>
      </c>
      <c r="G72" s="4">
        <v>2</v>
      </c>
      <c r="H72" s="5">
        <v>1.1000000000000001</v>
      </c>
      <c r="J72" s="6" t="str">
        <f t="shared" si="4"/>
        <v>-20</v>
      </c>
      <c r="K72" s="6" t="str">
        <f t="shared" si="5"/>
        <v>-2</v>
      </c>
      <c r="L72" s="6" t="str">
        <f t="shared" si="6"/>
        <v>-1,1</v>
      </c>
      <c r="N72" s="2">
        <v>-20</v>
      </c>
      <c r="O72" s="2">
        <v>-2</v>
      </c>
      <c r="P72" s="2">
        <v>-1.1000000000000001</v>
      </c>
    </row>
    <row r="73" spans="1:16" x14ac:dyDescent="0.25">
      <c r="A73" s="3" t="s">
        <v>85</v>
      </c>
      <c r="B73" s="4">
        <v>20</v>
      </c>
      <c r="C73" s="4">
        <v>32</v>
      </c>
      <c r="D73" s="5">
        <v>24.68</v>
      </c>
      <c r="E73" s="5" t="s">
        <v>0</v>
      </c>
      <c r="F73" s="4">
        <v>19</v>
      </c>
      <c r="G73" s="4">
        <v>51</v>
      </c>
      <c r="H73" s="5">
        <v>47.9</v>
      </c>
      <c r="J73" s="6" t="str">
        <f t="shared" si="4"/>
        <v>-19</v>
      </c>
      <c r="K73" s="6" t="str">
        <f t="shared" si="5"/>
        <v>-51</v>
      </c>
      <c r="L73" s="6" t="str">
        <f t="shared" si="6"/>
        <v>-47,9</v>
      </c>
      <c r="N73" s="2">
        <v>-19</v>
      </c>
      <c r="O73" s="2">
        <v>-51</v>
      </c>
      <c r="P73" s="2">
        <v>-47.9</v>
      </c>
    </row>
    <row r="74" spans="1:16" x14ac:dyDescent="0.25">
      <c r="A74" s="3" t="s">
        <v>86</v>
      </c>
      <c r="B74" s="4">
        <v>20</v>
      </c>
      <c r="C74" s="4">
        <v>35</v>
      </c>
      <c r="D74" s="5">
        <v>30.62</v>
      </c>
      <c r="E74" s="5" t="s">
        <v>0</v>
      </c>
      <c r="F74" s="4">
        <v>19</v>
      </c>
      <c r="G74" s="4">
        <v>41</v>
      </c>
      <c r="H74" s="5">
        <v>23</v>
      </c>
      <c r="J74" s="6" t="str">
        <f t="shared" si="4"/>
        <v>-19</v>
      </c>
      <c r="K74" s="6" t="str">
        <f t="shared" si="5"/>
        <v>-41</v>
      </c>
      <c r="L74" s="6" t="str">
        <f t="shared" si="6"/>
        <v>-23</v>
      </c>
      <c r="N74" s="2">
        <v>-19</v>
      </c>
      <c r="O74" s="2">
        <v>-41</v>
      </c>
      <c r="P74" s="2">
        <v>-23</v>
      </c>
    </row>
    <row r="75" spans="1:16" x14ac:dyDescent="0.25">
      <c r="A75" s="3" t="s">
        <v>87</v>
      </c>
      <c r="B75" s="4">
        <v>20</v>
      </c>
      <c r="C75" s="4">
        <v>38</v>
      </c>
      <c r="D75" s="5">
        <v>36.24</v>
      </c>
      <c r="E75" s="5" t="s">
        <v>0</v>
      </c>
      <c r="F75" s="4">
        <v>19</v>
      </c>
      <c r="G75" s="4">
        <v>30</v>
      </c>
      <c r="H75" s="5">
        <v>46.3</v>
      </c>
      <c r="J75" s="6" t="str">
        <f t="shared" si="4"/>
        <v>-19</v>
      </c>
      <c r="K75" s="6" t="str">
        <f t="shared" si="5"/>
        <v>-30</v>
      </c>
      <c r="L75" s="6" t="str">
        <f t="shared" si="6"/>
        <v>-46,3</v>
      </c>
      <c r="N75" s="2">
        <v>-19</v>
      </c>
      <c r="O75" s="2">
        <v>-30</v>
      </c>
      <c r="P75" s="2">
        <v>-46.3</v>
      </c>
    </row>
    <row r="76" spans="1:16" x14ac:dyDescent="0.25">
      <c r="A76" s="3" t="s">
        <v>88</v>
      </c>
      <c r="B76" s="4">
        <v>20</v>
      </c>
      <c r="C76" s="4">
        <v>41</v>
      </c>
      <c r="D76" s="5">
        <v>41.56</v>
      </c>
      <c r="E76" s="5" t="s">
        <v>0</v>
      </c>
      <c r="F76" s="4">
        <v>19</v>
      </c>
      <c r="G76" s="4">
        <v>19</v>
      </c>
      <c r="H76" s="5">
        <v>58</v>
      </c>
      <c r="J76" s="6" t="str">
        <f t="shared" si="4"/>
        <v>-19</v>
      </c>
      <c r="K76" s="6" t="str">
        <f t="shared" si="5"/>
        <v>-19</v>
      </c>
      <c r="L76" s="6" t="str">
        <f t="shared" si="6"/>
        <v>-58</v>
      </c>
      <c r="N76" s="2">
        <v>-19</v>
      </c>
      <c r="O76" s="2">
        <v>-19</v>
      </c>
      <c r="P76" s="2">
        <v>-58</v>
      </c>
    </row>
    <row r="77" spans="1:16" x14ac:dyDescent="0.25">
      <c r="A77" s="3" t="s">
        <v>89</v>
      </c>
      <c r="B77" s="4">
        <v>20</v>
      </c>
      <c r="C77" s="4">
        <v>44</v>
      </c>
      <c r="D77" s="5">
        <v>46.55</v>
      </c>
      <c r="E77" s="5" t="s">
        <v>0</v>
      </c>
      <c r="F77" s="4">
        <v>19</v>
      </c>
      <c r="G77" s="4">
        <v>8</v>
      </c>
      <c r="H77" s="5">
        <v>58.2</v>
      </c>
      <c r="J77" s="6" t="str">
        <f t="shared" si="4"/>
        <v>-19</v>
      </c>
      <c r="K77" s="6" t="str">
        <f t="shared" si="5"/>
        <v>-8</v>
      </c>
      <c r="L77" s="6" t="str">
        <f t="shared" si="6"/>
        <v>-58,2</v>
      </c>
      <c r="N77" s="2">
        <v>-19</v>
      </c>
      <c r="O77" s="2">
        <v>-8</v>
      </c>
      <c r="P77" s="2">
        <v>-58.2</v>
      </c>
    </row>
    <row r="78" spans="1:16" x14ac:dyDescent="0.25">
      <c r="A78" s="3" t="s">
        <v>90</v>
      </c>
      <c r="B78" s="4">
        <v>20</v>
      </c>
      <c r="C78" s="4">
        <v>47</v>
      </c>
      <c r="D78" s="5">
        <v>51.23</v>
      </c>
      <c r="E78" s="5" t="s">
        <v>0</v>
      </c>
      <c r="F78" s="4">
        <v>18</v>
      </c>
      <c r="G78" s="4">
        <v>57</v>
      </c>
      <c r="H78" s="5">
        <v>47.1</v>
      </c>
      <c r="J78" s="6" t="str">
        <f t="shared" si="4"/>
        <v>-18</v>
      </c>
      <c r="K78" s="6" t="str">
        <f t="shared" si="5"/>
        <v>-57</v>
      </c>
      <c r="L78" s="6" t="str">
        <f t="shared" si="6"/>
        <v>-47,1</v>
      </c>
      <c r="N78" s="2">
        <v>-18</v>
      </c>
      <c r="O78" s="2">
        <v>-57</v>
      </c>
      <c r="P78" s="2">
        <v>-47.1</v>
      </c>
    </row>
    <row r="79" spans="1:16" x14ac:dyDescent="0.25">
      <c r="A79" s="3" t="s">
        <v>91</v>
      </c>
      <c r="B79" s="4">
        <v>20</v>
      </c>
      <c r="C79" s="4">
        <v>50</v>
      </c>
      <c r="D79" s="5">
        <v>55.59</v>
      </c>
      <c r="E79" s="5" t="s">
        <v>0</v>
      </c>
      <c r="F79" s="4">
        <v>18</v>
      </c>
      <c r="G79" s="4">
        <v>46</v>
      </c>
      <c r="H79" s="5">
        <v>24.8</v>
      </c>
      <c r="J79" s="6" t="str">
        <f t="shared" si="4"/>
        <v>-18</v>
      </c>
      <c r="K79" s="6" t="str">
        <f t="shared" si="5"/>
        <v>-46</v>
      </c>
      <c r="L79" s="6" t="str">
        <f t="shared" si="6"/>
        <v>-24,8</v>
      </c>
      <c r="N79" s="2">
        <v>-18</v>
      </c>
      <c r="O79" s="2">
        <v>-46</v>
      </c>
      <c r="P79" s="2">
        <v>-24.8</v>
      </c>
    </row>
    <row r="80" spans="1:16" x14ac:dyDescent="0.25">
      <c r="A80" s="3" t="s">
        <v>92</v>
      </c>
      <c r="B80" s="4">
        <v>20</v>
      </c>
      <c r="C80" s="4">
        <v>53</v>
      </c>
      <c r="D80" s="5">
        <v>59.62</v>
      </c>
      <c r="E80" s="5" t="s">
        <v>0</v>
      </c>
      <c r="F80" s="4">
        <v>18</v>
      </c>
      <c r="G80" s="4">
        <v>34</v>
      </c>
      <c r="H80" s="5">
        <v>51.4</v>
      </c>
      <c r="J80" s="6" t="str">
        <f t="shared" si="4"/>
        <v>-18</v>
      </c>
      <c r="K80" s="6" t="str">
        <f t="shared" si="5"/>
        <v>-34</v>
      </c>
      <c r="L80" s="6" t="str">
        <f t="shared" si="6"/>
        <v>-51,4</v>
      </c>
      <c r="N80" s="2">
        <v>-18</v>
      </c>
      <c r="O80" s="2">
        <v>-34</v>
      </c>
      <c r="P80" s="2">
        <v>-51.4</v>
      </c>
    </row>
    <row r="81" spans="1:16" x14ac:dyDescent="0.25">
      <c r="A81" s="3" t="s">
        <v>93</v>
      </c>
      <c r="B81" s="4">
        <v>20</v>
      </c>
      <c r="C81" s="4">
        <v>57</v>
      </c>
      <c r="D81" s="5">
        <v>3.33</v>
      </c>
      <c r="E81" s="5" t="s">
        <v>0</v>
      </c>
      <c r="F81" s="4">
        <v>18</v>
      </c>
      <c r="G81" s="4">
        <v>23</v>
      </c>
      <c r="H81" s="5">
        <v>7.1</v>
      </c>
      <c r="J81" s="6" t="str">
        <f t="shared" si="4"/>
        <v>-18</v>
      </c>
      <c r="K81" s="6" t="str">
        <f t="shared" si="5"/>
        <v>-23</v>
      </c>
      <c r="L81" s="6" t="str">
        <f t="shared" si="6"/>
        <v>-7,1</v>
      </c>
      <c r="N81" s="2">
        <v>-18</v>
      </c>
      <c r="O81" s="2">
        <v>-23</v>
      </c>
      <c r="P81" s="2">
        <v>-7.1</v>
      </c>
    </row>
    <row r="82" spans="1:16" x14ac:dyDescent="0.25">
      <c r="A82" s="3" t="s">
        <v>94</v>
      </c>
      <c r="B82" s="4">
        <v>21</v>
      </c>
      <c r="C82" s="4">
        <v>0</v>
      </c>
      <c r="D82" s="5">
        <v>6.71</v>
      </c>
      <c r="E82" s="5" t="s">
        <v>0</v>
      </c>
      <c r="F82" s="4">
        <v>18</v>
      </c>
      <c r="G82" s="4">
        <v>11</v>
      </c>
      <c r="H82" s="5">
        <v>12</v>
      </c>
      <c r="J82" s="6" t="str">
        <f t="shared" si="4"/>
        <v>-18</v>
      </c>
      <c r="K82" s="6" t="str">
        <f t="shared" si="5"/>
        <v>-11</v>
      </c>
      <c r="L82" s="6" t="str">
        <f t="shared" si="6"/>
        <v>-12</v>
      </c>
      <c r="N82" s="2">
        <v>-18</v>
      </c>
      <c r="O82" s="2">
        <v>-11</v>
      </c>
      <c r="P82" s="2">
        <v>-12</v>
      </c>
    </row>
    <row r="83" spans="1:16" x14ac:dyDescent="0.25">
      <c r="A83" s="3" t="s">
        <v>95</v>
      </c>
      <c r="B83" s="4">
        <v>21</v>
      </c>
      <c r="C83" s="4">
        <v>3</v>
      </c>
      <c r="D83" s="5">
        <v>9.76</v>
      </c>
      <c r="E83" s="5" t="s">
        <v>0</v>
      </c>
      <c r="F83" s="4">
        <v>17</v>
      </c>
      <c r="G83" s="4">
        <v>59</v>
      </c>
      <c r="H83" s="5">
        <v>6.2</v>
      </c>
      <c r="J83" s="6" t="str">
        <f t="shared" si="4"/>
        <v>-17</v>
      </c>
      <c r="K83" s="6" t="str">
        <f t="shared" si="5"/>
        <v>-59</v>
      </c>
      <c r="L83" s="6" t="str">
        <f t="shared" si="6"/>
        <v>-6,2</v>
      </c>
      <c r="N83" s="2">
        <v>-17</v>
      </c>
      <c r="O83" s="2">
        <v>-59</v>
      </c>
      <c r="P83" s="2">
        <v>-6.2</v>
      </c>
    </row>
    <row r="84" spans="1:16" x14ac:dyDescent="0.25">
      <c r="A84" s="3" t="s">
        <v>96</v>
      </c>
      <c r="B84" s="4">
        <v>21</v>
      </c>
      <c r="C84" s="4">
        <v>6</v>
      </c>
      <c r="D84" s="5">
        <v>12.48</v>
      </c>
      <c r="E84" s="5" t="s">
        <v>0</v>
      </c>
      <c r="F84" s="4">
        <v>17</v>
      </c>
      <c r="G84" s="4">
        <v>46</v>
      </c>
      <c r="H84" s="5">
        <v>50</v>
      </c>
      <c r="J84" s="6" t="str">
        <f t="shared" si="4"/>
        <v>-17</v>
      </c>
      <c r="K84" s="6" t="str">
        <f t="shared" si="5"/>
        <v>-46</v>
      </c>
      <c r="L84" s="6" t="str">
        <f t="shared" si="6"/>
        <v>-50</v>
      </c>
      <c r="N84" s="2">
        <v>-17</v>
      </c>
      <c r="O84" s="2">
        <v>-46</v>
      </c>
      <c r="P84" s="2">
        <v>-50</v>
      </c>
    </row>
    <row r="85" spans="1:16" x14ac:dyDescent="0.25">
      <c r="A85" s="3" t="s">
        <v>97</v>
      </c>
      <c r="B85" s="4">
        <v>21</v>
      </c>
      <c r="C85" s="4">
        <v>9</v>
      </c>
      <c r="D85" s="5">
        <v>14.86</v>
      </c>
      <c r="E85" s="5" t="s">
        <v>0</v>
      </c>
      <c r="F85" s="4">
        <v>17</v>
      </c>
      <c r="G85" s="4">
        <v>34</v>
      </c>
      <c r="H85" s="5">
        <v>23.4</v>
      </c>
      <c r="J85" s="6" t="str">
        <f t="shared" si="4"/>
        <v>-17</v>
      </c>
      <c r="K85" s="6" t="str">
        <f t="shared" si="5"/>
        <v>-34</v>
      </c>
      <c r="L85" s="6" t="str">
        <f t="shared" si="6"/>
        <v>-23,4</v>
      </c>
      <c r="N85" s="2">
        <v>-17</v>
      </c>
      <c r="O85" s="2">
        <v>-34</v>
      </c>
      <c r="P85" s="2">
        <v>-23.4</v>
      </c>
    </row>
    <row r="86" spans="1:16" x14ac:dyDescent="0.25">
      <c r="A86" s="3" t="s">
        <v>98</v>
      </c>
      <c r="B86" s="4">
        <v>21</v>
      </c>
      <c r="C86" s="4">
        <v>12</v>
      </c>
      <c r="D86" s="5">
        <v>16.89</v>
      </c>
      <c r="E86" s="5" t="s">
        <v>0</v>
      </c>
      <c r="F86" s="4">
        <v>17</v>
      </c>
      <c r="G86" s="4">
        <v>21</v>
      </c>
      <c r="H86" s="5">
        <v>46.6</v>
      </c>
      <c r="J86" s="6" t="str">
        <f t="shared" si="4"/>
        <v>-17</v>
      </c>
      <c r="K86" s="6" t="str">
        <f t="shared" si="5"/>
        <v>-21</v>
      </c>
      <c r="L86" s="6" t="str">
        <f t="shared" si="6"/>
        <v>-46,6</v>
      </c>
      <c r="N86" s="2">
        <v>-17</v>
      </c>
      <c r="O86" s="2">
        <v>-21</v>
      </c>
      <c r="P86" s="2">
        <v>-46.6</v>
      </c>
    </row>
    <row r="87" spans="1:16" x14ac:dyDescent="0.25">
      <c r="A87" s="3" t="s">
        <v>99</v>
      </c>
      <c r="B87" s="4">
        <v>21</v>
      </c>
      <c r="C87" s="4">
        <v>15</v>
      </c>
      <c r="D87" s="5">
        <v>18.579999999999998</v>
      </c>
      <c r="E87" s="5" t="s">
        <v>0</v>
      </c>
      <c r="F87" s="4">
        <v>17</v>
      </c>
      <c r="G87" s="4">
        <v>8</v>
      </c>
      <c r="H87" s="5">
        <v>59.8</v>
      </c>
      <c r="J87" s="6" t="str">
        <f t="shared" si="4"/>
        <v>-17</v>
      </c>
      <c r="K87" s="6" t="str">
        <f t="shared" si="5"/>
        <v>-8</v>
      </c>
      <c r="L87" s="6" t="str">
        <f t="shared" si="6"/>
        <v>-59,8</v>
      </c>
      <c r="N87" s="2">
        <v>-17</v>
      </c>
      <c r="O87" s="2">
        <v>-8</v>
      </c>
      <c r="P87" s="2">
        <v>-59.8</v>
      </c>
    </row>
    <row r="88" spans="1:16" x14ac:dyDescent="0.25">
      <c r="A88" s="3" t="s">
        <v>100</v>
      </c>
      <c r="B88" s="4">
        <v>21</v>
      </c>
      <c r="C88" s="4">
        <v>18</v>
      </c>
      <c r="D88" s="5">
        <v>19.91</v>
      </c>
      <c r="E88" s="5" t="s">
        <v>0</v>
      </c>
      <c r="F88" s="4">
        <v>16</v>
      </c>
      <c r="G88" s="4">
        <v>56</v>
      </c>
      <c r="H88" s="5">
        <v>3.1</v>
      </c>
      <c r="J88" s="6" t="str">
        <f t="shared" si="4"/>
        <v>-16</v>
      </c>
      <c r="K88" s="6" t="str">
        <f t="shared" si="5"/>
        <v>-56</v>
      </c>
      <c r="L88" s="6" t="str">
        <f t="shared" si="6"/>
        <v>-3,1</v>
      </c>
      <c r="N88" s="2">
        <v>-16</v>
      </c>
      <c r="O88" s="2">
        <v>-56</v>
      </c>
      <c r="P88" s="2">
        <v>-3.1</v>
      </c>
    </row>
    <row r="89" spans="1:16" x14ac:dyDescent="0.25">
      <c r="A89" s="3" t="s">
        <v>101</v>
      </c>
      <c r="B89" s="4">
        <v>21</v>
      </c>
      <c r="C89" s="4">
        <v>21</v>
      </c>
      <c r="D89" s="5">
        <v>20.89</v>
      </c>
      <c r="E89" s="5" t="s">
        <v>0</v>
      </c>
      <c r="F89" s="4">
        <v>16</v>
      </c>
      <c r="G89" s="4">
        <v>42</v>
      </c>
      <c r="H89" s="5">
        <v>56.8</v>
      </c>
      <c r="J89" s="6" t="str">
        <f t="shared" si="4"/>
        <v>-16</v>
      </c>
      <c r="K89" s="6" t="str">
        <f t="shared" si="5"/>
        <v>-42</v>
      </c>
      <c r="L89" s="6" t="str">
        <f t="shared" si="6"/>
        <v>-56,8</v>
      </c>
      <c r="N89" s="2">
        <v>-16</v>
      </c>
      <c r="O89" s="2">
        <v>-42</v>
      </c>
      <c r="P89" s="2">
        <v>-56.8</v>
      </c>
    </row>
    <row r="90" spans="1:16" x14ac:dyDescent="0.25">
      <c r="A90" s="3" t="s">
        <v>102</v>
      </c>
      <c r="B90" s="4">
        <v>21</v>
      </c>
      <c r="C90" s="4">
        <v>24</v>
      </c>
      <c r="D90" s="5">
        <v>21.51</v>
      </c>
      <c r="E90" s="5" t="s">
        <v>0</v>
      </c>
      <c r="F90" s="4">
        <v>16</v>
      </c>
      <c r="G90" s="4">
        <v>29</v>
      </c>
      <c r="H90" s="5">
        <v>40.9</v>
      </c>
      <c r="J90" s="6" t="str">
        <f t="shared" si="4"/>
        <v>-16</v>
      </c>
      <c r="K90" s="6" t="str">
        <f t="shared" si="5"/>
        <v>-29</v>
      </c>
      <c r="L90" s="6" t="str">
        <f t="shared" si="6"/>
        <v>-40,9</v>
      </c>
      <c r="N90" s="2">
        <v>-16</v>
      </c>
      <c r="O90" s="2">
        <v>-29</v>
      </c>
      <c r="P90" s="2">
        <v>-40.9</v>
      </c>
    </row>
    <row r="91" spans="1:16" x14ac:dyDescent="0.25">
      <c r="A91" s="3" t="s">
        <v>103</v>
      </c>
      <c r="B91" s="4">
        <v>21</v>
      </c>
      <c r="C91" s="4">
        <v>27</v>
      </c>
      <c r="D91" s="5">
        <v>21.77</v>
      </c>
      <c r="E91" s="5" t="s">
        <v>0</v>
      </c>
      <c r="F91" s="4">
        <v>16</v>
      </c>
      <c r="G91" s="4">
        <v>16</v>
      </c>
      <c r="H91" s="5">
        <v>15.8</v>
      </c>
      <c r="J91" s="6" t="str">
        <f t="shared" si="4"/>
        <v>-16</v>
      </c>
      <c r="K91" s="6" t="str">
        <f t="shared" si="5"/>
        <v>-16</v>
      </c>
      <c r="L91" s="6" t="str">
        <f t="shared" si="6"/>
        <v>-15,8</v>
      </c>
      <c r="N91" s="2">
        <v>-16</v>
      </c>
      <c r="O91" s="2">
        <v>-16</v>
      </c>
      <c r="P91" s="2">
        <v>-15.8</v>
      </c>
    </row>
    <row r="92" spans="1:16" x14ac:dyDescent="0.25">
      <c r="A92" s="3" t="s">
        <v>104</v>
      </c>
      <c r="B92" s="4">
        <v>21</v>
      </c>
      <c r="C92" s="4">
        <v>30</v>
      </c>
      <c r="D92" s="5">
        <v>21.66</v>
      </c>
      <c r="E92" s="5" t="s">
        <v>0</v>
      </c>
      <c r="F92" s="4">
        <v>16</v>
      </c>
      <c r="G92" s="4">
        <v>2</v>
      </c>
      <c r="H92" s="5">
        <v>41.5</v>
      </c>
      <c r="J92" s="6" t="str">
        <f t="shared" si="4"/>
        <v>-16</v>
      </c>
      <c r="K92" s="6" t="str">
        <f t="shared" si="5"/>
        <v>-2</v>
      </c>
      <c r="L92" s="6" t="str">
        <f t="shared" si="6"/>
        <v>-41,5</v>
      </c>
      <c r="N92" s="2">
        <v>-16</v>
      </c>
      <c r="O92" s="2">
        <v>-2</v>
      </c>
      <c r="P92" s="2">
        <v>-41.5</v>
      </c>
    </row>
    <row r="93" spans="1:16" x14ac:dyDescent="0.25">
      <c r="A93" s="3" t="s">
        <v>105</v>
      </c>
      <c r="B93" s="4">
        <v>21</v>
      </c>
      <c r="C93" s="4">
        <v>33</v>
      </c>
      <c r="D93" s="5">
        <v>21.19</v>
      </c>
      <c r="E93" s="5" t="s">
        <v>0</v>
      </c>
      <c r="F93" s="4">
        <v>15</v>
      </c>
      <c r="G93" s="4">
        <v>48</v>
      </c>
      <c r="H93" s="5">
        <v>58.2</v>
      </c>
      <c r="J93" s="6" t="str">
        <f t="shared" si="4"/>
        <v>-15</v>
      </c>
      <c r="K93" s="6" t="str">
        <f t="shared" si="5"/>
        <v>-48</v>
      </c>
      <c r="L93" s="6" t="str">
        <f t="shared" si="6"/>
        <v>-58,2</v>
      </c>
      <c r="N93" s="2">
        <v>-15</v>
      </c>
      <c r="O93" s="2">
        <v>-48</v>
      </c>
      <c r="P93" s="2">
        <v>-58.2</v>
      </c>
    </row>
    <row r="94" spans="1:16" x14ac:dyDescent="0.25">
      <c r="A94" s="3" t="s">
        <v>106</v>
      </c>
      <c r="B94" s="4">
        <v>21</v>
      </c>
      <c r="C94" s="4">
        <v>36</v>
      </c>
      <c r="D94" s="5">
        <v>20.36</v>
      </c>
      <c r="E94" s="5" t="s">
        <v>0</v>
      </c>
      <c r="F94" s="4">
        <v>15</v>
      </c>
      <c r="G94" s="4">
        <v>35</v>
      </c>
      <c r="H94" s="5">
        <v>6</v>
      </c>
      <c r="J94" s="6" t="str">
        <f t="shared" si="4"/>
        <v>-15</v>
      </c>
      <c r="K94" s="6" t="str">
        <f t="shared" si="5"/>
        <v>-35</v>
      </c>
      <c r="L94" s="6" t="str">
        <f t="shared" si="6"/>
        <v>-6</v>
      </c>
      <c r="N94" s="2">
        <v>-15</v>
      </c>
      <c r="O94" s="2">
        <v>-35</v>
      </c>
      <c r="P94" s="2">
        <v>-6</v>
      </c>
    </row>
    <row r="95" spans="1:16" x14ac:dyDescent="0.25">
      <c r="A95" s="3" t="s">
        <v>107</v>
      </c>
      <c r="B95" s="4">
        <v>21</v>
      </c>
      <c r="C95" s="4">
        <v>39</v>
      </c>
      <c r="D95" s="5">
        <v>19.149999999999999</v>
      </c>
      <c r="E95" s="5" t="s">
        <v>0</v>
      </c>
      <c r="F95" s="4">
        <v>15</v>
      </c>
      <c r="G95" s="4">
        <v>21</v>
      </c>
      <c r="H95" s="5">
        <v>5.3</v>
      </c>
      <c r="J95" s="6" t="str">
        <f t="shared" si="4"/>
        <v>-15</v>
      </c>
      <c r="K95" s="6" t="str">
        <f t="shared" si="5"/>
        <v>-21</v>
      </c>
      <c r="L95" s="6" t="str">
        <f t="shared" si="6"/>
        <v>-5,3</v>
      </c>
      <c r="N95" s="2">
        <v>-15</v>
      </c>
      <c r="O95" s="2">
        <v>-21</v>
      </c>
      <c r="P95" s="2">
        <v>-5.3</v>
      </c>
    </row>
    <row r="96" spans="1:16" x14ac:dyDescent="0.25">
      <c r="A96" s="3" t="s">
        <v>108</v>
      </c>
      <c r="B96" s="4">
        <v>21</v>
      </c>
      <c r="C96" s="4">
        <v>42</v>
      </c>
      <c r="D96" s="5">
        <v>17.59</v>
      </c>
      <c r="E96" s="5" t="s">
        <v>0</v>
      </c>
      <c r="F96" s="4">
        <v>15</v>
      </c>
      <c r="G96" s="4">
        <v>6</v>
      </c>
      <c r="H96" s="5">
        <v>56.1</v>
      </c>
      <c r="J96" s="6" t="str">
        <f t="shared" si="4"/>
        <v>-15</v>
      </c>
      <c r="K96" s="6" t="str">
        <f t="shared" si="5"/>
        <v>-6</v>
      </c>
      <c r="L96" s="6" t="str">
        <f t="shared" si="6"/>
        <v>-56,1</v>
      </c>
      <c r="N96" s="2">
        <v>-15</v>
      </c>
      <c r="O96" s="2">
        <v>-6</v>
      </c>
      <c r="P96" s="2">
        <v>-56.1</v>
      </c>
    </row>
    <row r="97" spans="1:16" x14ac:dyDescent="0.25">
      <c r="A97" s="3" t="s">
        <v>109</v>
      </c>
      <c r="B97" s="4">
        <v>21</v>
      </c>
      <c r="C97" s="4">
        <v>45</v>
      </c>
      <c r="D97" s="5">
        <v>15.66</v>
      </c>
      <c r="E97" s="5" t="s">
        <v>0</v>
      </c>
      <c r="F97" s="4">
        <v>14</v>
      </c>
      <c r="G97" s="4">
        <v>52</v>
      </c>
      <c r="H97" s="5">
        <v>38.6</v>
      </c>
      <c r="J97" s="6" t="str">
        <f t="shared" si="4"/>
        <v>-14</v>
      </c>
      <c r="K97" s="6" t="str">
        <f t="shared" si="5"/>
        <v>-52</v>
      </c>
      <c r="L97" s="6" t="str">
        <f t="shared" si="6"/>
        <v>-38,6</v>
      </c>
      <c r="N97" s="2">
        <v>-14</v>
      </c>
      <c r="O97" s="2">
        <v>-52</v>
      </c>
      <c r="P97" s="2">
        <v>-38.6</v>
      </c>
    </row>
    <row r="98" spans="1:16" x14ac:dyDescent="0.25">
      <c r="A98" s="3" t="s">
        <v>110</v>
      </c>
      <c r="B98" s="4">
        <v>21</v>
      </c>
      <c r="C98" s="4">
        <v>48</v>
      </c>
      <c r="D98" s="5">
        <v>13.36</v>
      </c>
      <c r="E98" s="5" t="s">
        <v>0</v>
      </c>
      <c r="F98" s="4">
        <v>14</v>
      </c>
      <c r="G98" s="4">
        <v>38</v>
      </c>
      <c r="H98" s="5">
        <v>13</v>
      </c>
      <c r="J98" s="6" t="str">
        <f t="shared" si="4"/>
        <v>-14</v>
      </c>
      <c r="K98" s="6" t="str">
        <f t="shared" si="5"/>
        <v>-38</v>
      </c>
      <c r="L98" s="6" t="str">
        <f t="shared" si="6"/>
        <v>-13</v>
      </c>
      <c r="N98" s="2">
        <v>-14</v>
      </c>
      <c r="O98" s="2">
        <v>-38</v>
      </c>
      <c r="P98" s="2">
        <v>-13</v>
      </c>
    </row>
    <row r="99" spans="1:16" x14ac:dyDescent="0.25">
      <c r="A99" s="3" t="s">
        <v>111</v>
      </c>
      <c r="B99" s="4">
        <v>21</v>
      </c>
      <c r="C99" s="4">
        <v>51</v>
      </c>
      <c r="D99" s="5">
        <v>10.71</v>
      </c>
      <c r="E99" s="5" t="s">
        <v>0</v>
      </c>
      <c r="F99" s="4">
        <v>14</v>
      </c>
      <c r="G99" s="4">
        <v>23</v>
      </c>
      <c r="H99" s="5">
        <v>39.5</v>
      </c>
      <c r="J99" s="6" t="str">
        <f t="shared" si="4"/>
        <v>-14</v>
      </c>
      <c r="K99" s="6" t="str">
        <f t="shared" si="5"/>
        <v>-23</v>
      </c>
      <c r="L99" s="6" t="str">
        <f t="shared" si="6"/>
        <v>-39,5</v>
      </c>
      <c r="N99" s="2">
        <v>-14</v>
      </c>
      <c r="O99" s="2">
        <v>-23</v>
      </c>
      <c r="P99" s="2">
        <v>-39.5</v>
      </c>
    </row>
    <row r="100" spans="1:16" x14ac:dyDescent="0.25">
      <c r="A100" s="3" t="s">
        <v>112</v>
      </c>
      <c r="B100" s="4">
        <v>21</v>
      </c>
      <c r="C100" s="4">
        <v>54</v>
      </c>
      <c r="D100" s="5">
        <v>7.7</v>
      </c>
      <c r="E100" s="5" t="s">
        <v>0</v>
      </c>
      <c r="F100" s="4">
        <v>14</v>
      </c>
      <c r="G100" s="4">
        <v>8</v>
      </c>
      <c r="H100" s="5">
        <v>58.1</v>
      </c>
      <c r="J100" s="6" t="str">
        <f t="shared" si="4"/>
        <v>-14</v>
      </c>
      <c r="K100" s="6" t="str">
        <f t="shared" si="5"/>
        <v>-8</v>
      </c>
      <c r="L100" s="6" t="str">
        <f t="shared" si="6"/>
        <v>-58,1</v>
      </c>
      <c r="N100" s="2">
        <v>-14</v>
      </c>
      <c r="O100" s="2">
        <v>-8</v>
      </c>
      <c r="P100" s="2">
        <v>-58.1</v>
      </c>
    </row>
    <row r="101" spans="1:16" x14ac:dyDescent="0.25">
      <c r="A101" s="3" t="s">
        <v>113</v>
      </c>
      <c r="B101" s="4">
        <v>21</v>
      </c>
      <c r="C101" s="4">
        <v>57</v>
      </c>
      <c r="D101" s="5">
        <v>4.34</v>
      </c>
      <c r="E101" s="5" t="s">
        <v>0</v>
      </c>
      <c r="F101" s="4">
        <v>13</v>
      </c>
      <c r="G101" s="4">
        <v>54</v>
      </c>
      <c r="H101" s="5">
        <v>9.1999999999999993</v>
      </c>
      <c r="J101" s="6" t="str">
        <f t="shared" si="4"/>
        <v>-13</v>
      </c>
      <c r="K101" s="6" t="str">
        <f t="shared" si="5"/>
        <v>-54</v>
      </c>
      <c r="L101" s="6" t="str">
        <f t="shared" si="6"/>
        <v>-9,2</v>
      </c>
      <c r="N101" s="2">
        <v>-13</v>
      </c>
      <c r="O101" s="2">
        <v>-54</v>
      </c>
      <c r="P101" s="2">
        <v>-9.1999999999999993</v>
      </c>
    </row>
    <row r="102" spans="1:16" x14ac:dyDescent="0.25">
      <c r="A102" s="3" t="s">
        <v>114</v>
      </c>
      <c r="B102" s="4">
        <v>22</v>
      </c>
      <c r="C102" s="4">
        <v>0</v>
      </c>
      <c r="D102" s="5">
        <v>0.62</v>
      </c>
      <c r="E102" s="5" t="s">
        <v>0</v>
      </c>
      <c r="F102" s="4">
        <v>13</v>
      </c>
      <c r="G102" s="4">
        <v>39</v>
      </c>
      <c r="H102" s="5">
        <v>12.8</v>
      </c>
      <c r="J102" s="6" t="str">
        <f t="shared" si="4"/>
        <v>-13</v>
      </c>
      <c r="K102" s="6" t="str">
        <f t="shared" si="5"/>
        <v>-39</v>
      </c>
      <c r="L102" s="6" t="str">
        <f t="shared" si="6"/>
        <v>-12,8</v>
      </c>
      <c r="N102" s="2">
        <v>-13</v>
      </c>
      <c r="O102" s="2">
        <v>-39</v>
      </c>
      <c r="P102" s="2">
        <v>-12.8</v>
      </c>
    </row>
    <row r="103" spans="1:16" x14ac:dyDescent="0.25">
      <c r="A103" s="3" t="s">
        <v>115</v>
      </c>
      <c r="B103" s="4">
        <v>22</v>
      </c>
      <c r="C103" s="4">
        <v>2</v>
      </c>
      <c r="D103" s="5">
        <v>56.57</v>
      </c>
      <c r="E103" s="5" t="s">
        <v>0</v>
      </c>
      <c r="F103" s="4">
        <v>13</v>
      </c>
      <c r="G103" s="4">
        <v>24</v>
      </c>
      <c r="H103" s="5">
        <v>9.1999999999999993</v>
      </c>
      <c r="J103" s="6" t="str">
        <f t="shared" si="4"/>
        <v>-13</v>
      </c>
      <c r="K103" s="6" t="str">
        <f t="shared" si="5"/>
        <v>-24</v>
      </c>
      <c r="L103" s="6" t="str">
        <f t="shared" si="6"/>
        <v>-9,2</v>
      </c>
      <c r="N103" s="2">
        <v>-13</v>
      </c>
      <c r="O103" s="2">
        <v>-24</v>
      </c>
      <c r="P103" s="2">
        <v>-9.1999999999999993</v>
      </c>
    </row>
    <row r="104" spans="1:16" x14ac:dyDescent="0.25">
      <c r="A104" s="3" t="s">
        <v>116</v>
      </c>
      <c r="B104" s="4">
        <v>22</v>
      </c>
      <c r="C104" s="4">
        <v>5</v>
      </c>
      <c r="D104" s="5">
        <v>52.16</v>
      </c>
      <c r="E104" s="5" t="s">
        <v>0</v>
      </c>
      <c r="F104" s="4">
        <v>13</v>
      </c>
      <c r="G104" s="4">
        <v>8</v>
      </c>
      <c r="H104" s="5">
        <v>58.4</v>
      </c>
      <c r="J104" s="6" t="str">
        <f t="shared" si="4"/>
        <v>-13</v>
      </c>
      <c r="K104" s="6" t="str">
        <f t="shared" si="5"/>
        <v>-8</v>
      </c>
      <c r="L104" s="6" t="str">
        <f t="shared" si="6"/>
        <v>-58,4</v>
      </c>
      <c r="N104" s="2">
        <v>-13</v>
      </c>
      <c r="O104" s="2">
        <v>-8</v>
      </c>
      <c r="P104" s="2">
        <v>-58.4</v>
      </c>
    </row>
    <row r="105" spans="1:16" x14ac:dyDescent="0.25">
      <c r="A105" s="3" t="s">
        <v>117</v>
      </c>
      <c r="B105" s="4">
        <v>22</v>
      </c>
      <c r="C105" s="4">
        <v>8</v>
      </c>
      <c r="D105" s="5">
        <v>47.42</v>
      </c>
      <c r="E105" s="5" t="s">
        <v>0</v>
      </c>
      <c r="F105" s="4">
        <v>12</v>
      </c>
      <c r="G105" s="4">
        <v>53</v>
      </c>
      <c r="H105" s="5">
        <v>40.6</v>
      </c>
      <c r="J105" s="6" t="str">
        <f t="shared" si="4"/>
        <v>-12</v>
      </c>
      <c r="K105" s="6" t="str">
        <f t="shared" si="5"/>
        <v>-53</v>
      </c>
      <c r="L105" s="6" t="str">
        <f t="shared" si="6"/>
        <v>-40,6</v>
      </c>
      <c r="N105" s="2">
        <v>-12</v>
      </c>
      <c r="O105" s="2">
        <v>-53</v>
      </c>
      <c r="P105" s="2">
        <v>-40.6</v>
      </c>
    </row>
    <row r="106" spans="1:16" x14ac:dyDescent="0.25">
      <c r="A106" s="3" t="s">
        <v>118</v>
      </c>
      <c r="B106" s="4">
        <v>22</v>
      </c>
      <c r="C106" s="4">
        <v>11</v>
      </c>
      <c r="D106" s="5">
        <v>42.35</v>
      </c>
      <c r="E106" s="5" t="s">
        <v>0</v>
      </c>
      <c r="F106" s="4">
        <v>12</v>
      </c>
      <c r="G106" s="4">
        <v>38</v>
      </c>
      <c r="H106" s="5">
        <v>16.100000000000001</v>
      </c>
      <c r="J106" s="6" t="str">
        <f t="shared" si="4"/>
        <v>-12</v>
      </c>
      <c r="K106" s="6" t="str">
        <f t="shared" si="5"/>
        <v>-38</v>
      </c>
      <c r="L106" s="6" t="str">
        <f t="shared" si="6"/>
        <v>-16,1</v>
      </c>
      <c r="N106" s="2">
        <v>-12</v>
      </c>
      <c r="O106" s="2">
        <v>-38</v>
      </c>
      <c r="P106" s="2">
        <v>-16.100000000000001</v>
      </c>
    </row>
    <row r="107" spans="1:16" x14ac:dyDescent="0.25">
      <c r="A107" s="3" t="s">
        <v>119</v>
      </c>
      <c r="B107" s="4">
        <v>22</v>
      </c>
      <c r="C107" s="4">
        <v>14</v>
      </c>
      <c r="D107" s="5">
        <v>36.950000000000003</v>
      </c>
      <c r="E107" s="5" t="s">
        <v>0</v>
      </c>
      <c r="F107" s="4">
        <v>12</v>
      </c>
      <c r="G107" s="4">
        <v>22</v>
      </c>
      <c r="H107" s="5">
        <v>45</v>
      </c>
      <c r="J107" s="6" t="str">
        <f t="shared" si="4"/>
        <v>-12</v>
      </c>
      <c r="K107" s="6" t="str">
        <f t="shared" si="5"/>
        <v>-22</v>
      </c>
      <c r="L107" s="6" t="str">
        <f t="shared" si="6"/>
        <v>-45</v>
      </c>
      <c r="N107" s="2">
        <v>-12</v>
      </c>
      <c r="O107" s="2">
        <v>-22</v>
      </c>
      <c r="P107" s="2">
        <v>-45</v>
      </c>
    </row>
    <row r="108" spans="1:16" x14ac:dyDescent="0.25">
      <c r="A108" s="3" t="s">
        <v>120</v>
      </c>
      <c r="B108" s="4">
        <v>22</v>
      </c>
      <c r="C108" s="4">
        <v>17</v>
      </c>
      <c r="D108" s="5">
        <v>31.23</v>
      </c>
      <c r="E108" s="5" t="s">
        <v>0</v>
      </c>
      <c r="F108" s="4">
        <v>12</v>
      </c>
      <c r="G108" s="4">
        <v>7</v>
      </c>
      <c r="H108" s="5">
        <v>7.4</v>
      </c>
      <c r="J108" s="6" t="str">
        <f t="shared" si="4"/>
        <v>-12</v>
      </c>
      <c r="K108" s="6" t="str">
        <f t="shared" si="5"/>
        <v>-7</v>
      </c>
      <c r="L108" s="6" t="str">
        <f t="shared" si="6"/>
        <v>-7,4</v>
      </c>
      <c r="N108" s="2">
        <v>-12</v>
      </c>
      <c r="O108" s="2">
        <v>-7</v>
      </c>
      <c r="P108" s="2">
        <v>-7.4</v>
      </c>
    </row>
    <row r="109" spans="1:16" x14ac:dyDescent="0.25">
      <c r="A109" s="3" t="s">
        <v>121</v>
      </c>
      <c r="B109" s="4">
        <v>22</v>
      </c>
      <c r="C109" s="4">
        <v>20</v>
      </c>
      <c r="D109" s="5">
        <v>25.19</v>
      </c>
      <c r="E109" s="5" t="s">
        <v>0</v>
      </c>
      <c r="F109" s="4">
        <v>11</v>
      </c>
      <c r="G109" s="4">
        <v>51</v>
      </c>
      <c r="H109" s="5">
        <v>23.5</v>
      </c>
      <c r="J109" s="6" t="str">
        <f t="shared" si="4"/>
        <v>-11</v>
      </c>
      <c r="K109" s="6" t="str">
        <f t="shared" si="5"/>
        <v>-51</v>
      </c>
      <c r="L109" s="6" t="str">
        <f t="shared" si="6"/>
        <v>-23,5</v>
      </c>
      <c r="N109" s="2">
        <v>-11</v>
      </c>
      <c r="O109" s="2">
        <v>-51</v>
      </c>
      <c r="P109" s="2">
        <v>-23.5</v>
      </c>
    </row>
    <row r="110" spans="1:16" x14ac:dyDescent="0.25">
      <c r="A110" s="3" t="s">
        <v>122</v>
      </c>
      <c r="B110" s="4">
        <v>22</v>
      </c>
      <c r="C110" s="4">
        <v>23</v>
      </c>
      <c r="D110" s="5">
        <v>18.84</v>
      </c>
      <c r="E110" s="5" t="s">
        <v>0</v>
      </c>
      <c r="F110" s="4">
        <v>11</v>
      </c>
      <c r="G110" s="4">
        <v>35</v>
      </c>
      <c r="H110" s="5">
        <v>33.4</v>
      </c>
      <c r="J110" s="6" t="str">
        <f t="shared" si="4"/>
        <v>-11</v>
      </c>
      <c r="K110" s="6" t="str">
        <f t="shared" si="5"/>
        <v>-35</v>
      </c>
      <c r="L110" s="6" t="str">
        <f t="shared" si="6"/>
        <v>-33,4</v>
      </c>
      <c r="N110" s="2">
        <v>-11</v>
      </c>
      <c r="O110" s="2">
        <v>-35</v>
      </c>
      <c r="P110" s="2">
        <v>-33.4</v>
      </c>
    </row>
    <row r="111" spans="1:16" x14ac:dyDescent="0.25">
      <c r="A111" s="3" t="s">
        <v>123</v>
      </c>
      <c r="B111" s="4">
        <v>22</v>
      </c>
      <c r="C111" s="4">
        <v>26</v>
      </c>
      <c r="D111" s="5">
        <v>12.17</v>
      </c>
      <c r="E111" s="5" t="s">
        <v>0</v>
      </c>
      <c r="F111" s="4">
        <v>11</v>
      </c>
      <c r="G111" s="4">
        <v>19</v>
      </c>
      <c r="H111" s="5">
        <v>37.4</v>
      </c>
      <c r="J111" s="6" t="str">
        <f t="shared" si="4"/>
        <v>-11</v>
      </c>
      <c r="K111" s="6" t="str">
        <f t="shared" si="5"/>
        <v>-19</v>
      </c>
      <c r="L111" s="6" t="str">
        <f t="shared" si="6"/>
        <v>-37,4</v>
      </c>
      <c r="N111" s="2">
        <v>-11</v>
      </c>
      <c r="O111" s="2">
        <v>-19</v>
      </c>
      <c r="P111" s="2">
        <v>-37.4</v>
      </c>
    </row>
    <row r="112" spans="1:16" x14ac:dyDescent="0.25">
      <c r="A112" s="3" t="s">
        <v>124</v>
      </c>
      <c r="B112" s="4">
        <v>22</v>
      </c>
      <c r="C112" s="4">
        <v>29</v>
      </c>
      <c r="D112" s="5">
        <v>5.19</v>
      </c>
      <c r="E112" s="5" t="s">
        <v>0</v>
      </c>
      <c r="F112" s="4">
        <v>11</v>
      </c>
      <c r="G112" s="4">
        <v>3</v>
      </c>
      <c r="H112" s="5">
        <v>35.6</v>
      </c>
      <c r="J112" s="6" t="str">
        <f t="shared" si="4"/>
        <v>-11</v>
      </c>
      <c r="K112" s="6" t="str">
        <f t="shared" si="5"/>
        <v>-3</v>
      </c>
      <c r="L112" s="6" t="str">
        <f t="shared" si="6"/>
        <v>-35,6</v>
      </c>
      <c r="N112" s="2">
        <v>-11</v>
      </c>
      <c r="O112" s="2">
        <v>-3</v>
      </c>
      <c r="P112" s="2">
        <v>-35.6</v>
      </c>
    </row>
    <row r="113" spans="1:16" x14ac:dyDescent="0.25">
      <c r="A113" s="3" t="s">
        <v>125</v>
      </c>
      <c r="B113" s="4">
        <v>22</v>
      </c>
      <c r="C113" s="4">
        <v>31</v>
      </c>
      <c r="D113" s="5">
        <v>57.91</v>
      </c>
      <c r="E113" s="5" t="s">
        <v>0</v>
      </c>
      <c r="F113" s="4">
        <v>10</v>
      </c>
      <c r="G113" s="4">
        <v>47</v>
      </c>
      <c r="H113" s="5">
        <v>28.3</v>
      </c>
      <c r="J113" s="6" t="str">
        <f t="shared" si="4"/>
        <v>-10</v>
      </c>
      <c r="K113" s="6" t="str">
        <f t="shared" si="5"/>
        <v>-47</v>
      </c>
      <c r="L113" s="6" t="str">
        <f t="shared" si="6"/>
        <v>-28,3</v>
      </c>
      <c r="N113" s="2">
        <v>-10</v>
      </c>
      <c r="O113" s="2">
        <v>-47</v>
      </c>
      <c r="P113" s="2">
        <v>-28.3</v>
      </c>
    </row>
    <row r="114" spans="1:16" x14ac:dyDescent="0.25">
      <c r="A114" s="3" t="s">
        <v>126</v>
      </c>
      <c r="B114" s="4">
        <v>22</v>
      </c>
      <c r="C114" s="4">
        <v>34</v>
      </c>
      <c r="D114" s="5">
        <v>50.32</v>
      </c>
      <c r="E114" s="5" t="s">
        <v>0</v>
      </c>
      <c r="F114" s="4">
        <v>10</v>
      </c>
      <c r="G114" s="4">
        <v>31</v>
      </c>
      <c r="H114" s="5">
        <v>15.5</v>
      </c>
      <c r="J114" s="6" t="str">
        <f t="shared" si="4"/>
        <v>-10</v>
      </c>
      <c r="K114" s="6" t="str">
        <f t="shared" si="5"/>
        <v>-31</v>
      </c>
      <c r="L114" s="6" t="str">
        <f t="shared" si="6"/>
        <v>-15,5</v>
      </c>
      <c r="N114" s="2">
        <v>-10</v>
      </c>
      <c r="O114" s="2">
        <v>-31</v>
      </c>
      <c r="P114" s="2">
        <v>-15.5</v>
      </c>
    </row>
    <row r="115" spans="1:16" x14ac:dyDescent="0.25">
      <c r="A115" s="3" t="s">
        <v>127</v>
      </c>
      <c r="B115" s="4">
        <v>22</v>
      </c>
      <c r="C115" s="4">
        <v>37</v>
      </c>
      <c r="D115" s="5">
        <v>42.42</v>
      </c>
      <c r="E115" s="5" t="s">
        <v>0</v>
      </c>
      <c r="F115" s="4">
        <v>10</v>
      </c>
      <c r="G115" s="4">
        <v>14</v>
      </c>
      <c r="H115" s="5">
        <v>57.6</v>
      </c>
      <c r="J115" s="6" t="str">
        <f t="shared" si="4"/>
        <v>-10</v>
      </c>
      <c r="K115" s="6" t="str">
        <f t="shared" si="5"/>
        <v>-14</v>
      </c>
      <c r="L115" s="6" t="str">
        <f t="shared" si="6"/>
        <v>-57,6</v>
      </c>
      <c r="N115" s="2">
        <v>-10</v>
      </c>
      <c r="O115" s="2">
        <v>-14</v>
      </c>
      <c r="P115" s="2">
        <v>-57.6</v>
      </c>
    </row>
    <row r="116" spans="1:16" x14ac:dyDescent="0.25">
      <c r="A116" s="3" t="s">
        <v>128</v>
      </c>
      <c r="B116" s="4">
        <v>22</v>
      </c>
      <c r="C116" s="4">
        <v>40</v>
      </c>
      <c r="D116" s="5">
        <v>34.229999999999997</v>
      </c>
      <c r="E116" s="5" t="s">
        <v>0</v>
      </c>
      <c r="F116" s="4">
        <v>9</v>
      </c>
      <c r="G116" s="4">
        <v>58</v>
      </c>
      <c r="H116" s="5">
        <v>34.6</v>
      </c>
      <c r="J116" s="6" t="str">
        <f t="shared" si="4"/>
        <v>-9</v>
      </c>
      <c r="K116" s="6" t="str">
        <f t="shared" si="5"/>
        <v>-58</v>
      </c>
      <c r="L116" s="6" t="str">
        <f t="shared" si="6"/>
        <v>-34,6</v>
      </c>
      <c r="N116" s="2">
        <v>-9</v>
      </c>
      <c r="O116" s="2">
        <v>-58</v>
      </c>
      <c r="P116" s="2">
        <v>-34.6</v>
      </c>
    </row>
    <row r="117" spans="1:16" x14ac:dyDescent="0.25">
      <c r="A117" s="3" t="s">
        <v>129</v>
      </c>
      <c r="B117" s="4">
        <v>22</v>
      </c>
      <c r="C117" s="4">
        <v>43</v>
      </c>
      <c r="D117" s="5">
        <v>25.73</v>
      </c>
      <c r="E117" s="5" t="s">
        <v>0</v>
      </c>
      <c r="F117" s="4">
        <v>9</v>
      </c>
      <c r="G117" s="4">
        <v>42</v>
      </c>
      <c r="H117" s="5">
        <v>6.8</v>
      </c>
      <c r="J117" s="6" t="str">
        <f t="shared" si="4"/>
        <v>-9</v>
      </c>
      <c r="K117" s="6" t="str">
        <f t="shared" si="5"/>
        <v>-42</v>
      </c>
      <c r="L117" s="6" t="str">
        <f t="shared" si="6"/>
        <v>-6,8</v>
      </c>
      <c r="N117" s="2">
        <v>-9</v>
      </c>
      <c r="O117" s="2">
        <v>-42</v>
      </c>
      <c r="P117" s="2">
        <v>-6.8</v>
      </c>
    </row>
    <row r="118" spans="1:16" x14ac:dyDescent="0.25">
      <c r="A118" s="3" t="s">
        <v>130</v>
      </c>
      <c r="B118" s="4">
        <v>22</v>
      </c>
      <c r="C118" s="4">
        <v>46</v>
      </c>
      <c r="D118" s="5">
        <v>16.920000000000002</v>
      </c>
      <c r="E118" s="5" t="s">
        <v>0</v>
      </c>
      <c r="F118" s="4">
        <v>9</v>
      </c>
      <c r="G118" s="4">
        <v>25</v>
      </c>
      <c r="H118" s="5">
        <v>34.4</v>
      </c>
      <c r="J118" s="6" t="str">
        <f t="shared" si="4"/>
        <v>-9</v>
      </c>
      <c r="K118" s="6" t="str">
        <f t="shared" si="5"/>
        <v>-25</v>
      </c>
      <c r="L118" s="6" t="str">
        <f t="shared" si="6"/>
        <v>-34,4</v>
      </c>
      <c r="N118" s="2">
        <v>-9</v>
      </c>
      <c r="O118" s="2">
        <v>-25</v>
      </c>
      <c r="P118" s="2">
        <v>-34.4</v>
      </c>
    </row>
    <row r="119" spans="1:16" x14ac:dyDescent="0.25">
      <c r="A119" s="3" t="s">
        <v>131</v>
      </c>
      <c r="B119" s="4">
        <v>22</v>
      </c>
      <c r="C119" s="4">
        <v>49</v>
      </c>
      <c r="D119" s="5">
        <v>7.82</v>
      </c>
      <c r="E119" s="5" t="s">
        <v>0</v>
      </c>
      <c r="F119" s="4">
        <v>9</v>
      </c>
      <c r="G119" s="4">
        <v>8</v>
      </c>
      <c r="H119" s="5">
        <v>57.6</v>
      </c>
      <c r="J119" s="6" t="str">
        <f t="shared" si="4"/>
        <v>-9</v>
      </c>
      <c r="K119" s="6" t="str">
        <f t="shared" si="5"/>
        <v>-8</v>
      </c>
      <c r="L119" s="6" t="str">
        <f t="shared" si="6"/>
        <v>-57,6</v>
      </c>
      <c r="N119" s="2">
        <v>-9</v>
      </c>
      <c r="O119" s="2">
        <v>-8</v>
      </c>
      <c r="P119" s="2">
        <v>-57.6</v>
      </c>
    </row>
    <row r="120" spans="1:16" x14ac:dyDescent="0.25">
      <c r="A120" s="3" t="s">
        <v>132</v>
      </c>
      <c r="B120" s="4">
        <v>22</v>
      </c>
      <c r="C120" s="4">
        <v>51</v>
      </c>
      <c r="D120" s="5">
        <v>58.43</v>
      </c>
      <c r="E120" s="5" t="s">
        <v>0</v>
      </c>
      <c r="F120" s="4">
        <v>8</v>
      </c>
      <c r="G120" s="4">
        <v>52</v>
      </c>
      <c r="H120" s="5">
        <v>16.600000000000001</v>
      </c>
      <c r="J120" s="6" t="str">
        <f t="shared" si="4"/>
        <v>-8</v>
      </c>
      <c r="K120" s="6" t="str">
        <f t="shared" si="5"/>
        <v>-52</v>
      </c>
      <c r="L120" s="6" t="str">
        <f t="shared" si="6"/>
        <v>-16,6</v>
      </c>
      <c r="N120" s="2">
        <v>-8</v>
      </c>
      <c r="O120" s="2">
        <v>-52</v>
      </c>
      <c r="P120" s="2">
        <v>-16.600000000000001</v>
      </c>
    </row>
    <row r="121" spans="1:16" x14ac:dyDescent="0.25">
      <c r="A121" s="3" t="s">
        <v>133</v>
      </c>
      <c r="B121" s="4">
        <v>22</v>
      </c>
      <c r="C121" s="4">
        <v>54</v>
      </c>
      <c r="D121" s="5">
        <v>48.74</v>
      </c>
      <c r="E121" s="5" t="s">
        <v>0</v>
      </c>
      <c r="F121" s="4">
        <v>8</v>
      </c>
      <c r="G121" s="4">
        <v>35</v>
      </c>
      <c r="H121" s="5">
        <v>31.6</v>
      </c>
      <c r="J121" s="6" t="str">
        <f t="shared" si="4"/>
        <v>-8</v>
      </c>
      <c r="K121" s="6" t="str">
        <f t="shared" si="5"/>
        <v>-35</v>
      </c>
      <c r="L121" s="6" t="str">
        <f t="shared" si="6"/>
        <v>-31,6</v>
      </c>
      <c r="N121" s="2">
        <v>-8</v>
      </c>
      <c r="O121" s="2">
        <v>-35</v>
      </c>
      <c r="P121" s="2">
        <v>-31.6</v>
      </c>
    </row>
    <row r="122" spans="1:16" x14ac:dyDescent="0.25">
      <c r="A122" s="3" t="s">
        <v>134</v>
      </c>
      <c r="B122" s="4">
        <v>22</v>
      </c>
      <c r="C122" s="4">
        <v>57</v>
      </c>
      <c r="D122" s="5">
        <v>38.76</v>
      </c>
      <c r="E122" s="5" t="s">
        <v>0</v>
      </c>
      <c r="F122" s="4">
        <v>8</v>
      </c>
      <c r="G122" s="4">
        <v>18</v>
      </c>
      <c r="H122" s="5">
        <v>42.8</v>
      </c>
      <c r="J122" s="6" t="str">
        <f t="shared" si="4"/>
        <v>-8</v>
      </c>
      <c r="K122" s="6" t="str">
        <f t="shared" si="5"/>
        <v>-18</v>
      </c>
      <c r="L122" s="6" t="str">
        <f t="shared" si="6"/>
        <v>-42,8</v>
      </c>
      <c r="N122" s="2">
        <v>-8</v>
      </c>
      <c r="O122" s="2">
        <v>-18</v>
      </c>
      <c r="P122" s="2">
        <v>-42.8</v>
      </c>
    </row>
    <row r="123" spans="1:16" x14ac:dyDescent="0.25">
      <c r="A123" s="3" t="s">
        <v>135</v>
      </c>
      <c r="B123" s="4">
        <v>23</v>
      </c>
      <c r="C123" s="4">
        <v>0</v>
      </c>
      <c r="D123" s="5">
        <v>28.49</v>
      </c>
      <c r="E123" s="5" t="s">
        <v>0</v>
      </c>
      <c r="F123" s="4">
        <v>8</v>
      </c>
      <c r="G123" s="4">
        <v>1</v>
      </c>
      <c r="H123" s="5">
        <v>50.3</v>
      </c>
      <c r="J123" s="6" t="str">
        <f t="shared" si="4"/>
        <v>-8</v>
      </c>
      <c r="K123" s="6" t="str">
        <f t="shared" si="5"/>
        <v>-1</v>
      </c>
      <c r="L123" s="6" t="str">
        <f t="shared" si="6"/>
        <v>-50,3</v>
      </c>
      <c r="N123" s="2">
        <v>-8</v>
      </c>
      <c r="O123" s="2">
        <v>-1</v>
      </c>
      <c r="P123" s="2">
        <v>-50.3</v>
      </c>
    </row>
    <row r="124" spans="1:16" x14ac:dyDescent="0.25">
      <c r="A124" s="3" t="s">
        <v>136</v>
      </c>
      <c r="B124" s="4">
        <v>23</v>
      </c>
      <c r="C124" s="4">
        <v>3</v>
      </c>
      <c r="D124" s="5">
        <v>17.940000000000001</v>
      </c>
      <c r="E124" s="5" t="s">
        <v>0</v>
      </c>
      <c r="F124" s="4">
        <v>7</v>
      </c>
      <c r="G124" s="4">
        <v>44</v>
      </c>
      <c r="H124" s="5">
        <v>54.4</v>
      </c>
      <c r="J124" s="6" t="str">
        <f t="shared" si="4"/>
        <v>-7</v>
      </c>
      <c r="K124" s="6" t="str">
        <f t="shared" si="5"/>
        <v>-44</v>
      </c>
      <c r="L124" s="6" t="str">
        <f t="shared" si="6"/>
        <v>-54,4</v>
      </c>
      <c r="N124" s="2">
        <v>-7</v>
      </c>
      <c r="O124" s="2">
        <v>-44</v>
      </c>
      <c r="P124" s="2">
        <v>-54.4</v>
      </c>
    </row>
    <row r="125" spans="1:16" x14ac:dyDescent="0.25">
      <c r="A125" s="3" t="s">
        <v>137</v>
      </c>
      <c r="B125" s="4">
        <v>23</v>
      </c>
      <c r="C125" s="4">
        <v>6</v>
      </c>
      <c r="D125" s="5">
        <v>7.11</v>
      </c>
      <c r="E125" s="5" t="s">
        <v>0</v>
      </c>
      <c r="F125" s="4">
        <v>7</v>
      </c>
      <c r="G125" s="4">
        <v>27</v>
      </c>
      <c r="H125" s="5">
        <v>55.2</v>
      </c>
      <c r="J125" s="6" t="str">
        <f t="shared" si="4"/>
        <v>-7</v>
      </c>
      <c r="K125" s="6" t="str">
        <f t="shared" si="5"/>
        <v>-27</v>
      </c>
      <c r="L125" s="6" t="str">
        <f t="shared" si="6"/>
        <v>-55,2</v>
      </c>
      <c r="N125" s="2">
        <v>-7</v>
      </c>
      <c r="O125" s="2">
        <v>-27</v>
      </c>
      <c r="P125" s="2">
        <v>-55.2</v>
      </c>
    </row>
    <row r="126" spans="1:16" x14ac:dyDescent="0.25">
      <c r="A126" s="3" t="s">
        <v>138</v>
      </c>
      <c r="B126" s="4">
        <v>23</v>
      </c>
      <c r="C126" s="4">
        <v>8</v>
      </c>
      <c r="D126" s="5">
        <v>56</v>
      </c>
      <c r="E126" s="5" t="s">
        <v>0</v>
      </c>
      <c r="F126" s="4">
        <v>7</v>
      </c>
      <c r="G126" s="4">
        <v>10</v>
      </c>
      <c r="H126" s="5">
        <v>52.9</v>
      </c>
      <c r="J126" s="6" t="str">
        <f t="shared" si="4"/>
        <v>-7</v>
      </c>
      <c r="K126" s="6" t="str">
        <f t="shared" si="5"/>
        <v>-10</v>
      </c>
      <c r="L126" s="6" t="str">
        <f t="shared" si="6"/>
        <v>-52,9</v>
      </c>
      <c r="N126" s="2">
        <v>-7</v>
      </c>
      <c r="O126" s="2">
        <v>-10</v>
      </c>
      <c r="P126" s="2">
        <v>-52.9</v>
      </c>
    </row>
    <row r="127" spans="1:16" x14ac:dyDescent="0.25">
      <c r="A127" s="3" t="s">
        <v>139</v>
      </c>
      <c r="B127" s="4">
        <v>23</v>
      </c>
      <c r="C127" s="4">
        <v>11</v>
      </c>
      <c r="D127" s="5">
        <v>44.63</v>
      </c>
      <c r="E127" s="5" t="s">
        <v>0</v>
      </c>
      <c r="F127" s="4">
        <v>6</v>
      </c>
      <c r="G127" s="4">
        <v>53</v>
      </c>
      <c r="H127" s="5">
        <v>47.8</v>
      </c>
      <c r="J127" s="6" t="str">
        <f t="shared" si="4"/>
        <v>-6</v>
      </c>
      <c r="K127" s="6" t="str">
        <f t="shared" si="5"/>
        <v>-53</v>
      </c>
      <c r="L127" s="6" t="str">
        <f t="shared" si="6"/>
        <v>-47,8</v>
      </c>
      <c r="N127" s="2">
        <v>-6</v>
      </c>
      <c r="O127" s="2">
        <v>-53</v>
      </c>
      <c r="P127" s="2">
        <v>-47.8</v>
      </c>
    </row>
    <row r="128" spans="1:16" x14ac:dyDescent="0.25">
      <c r="A128" s="3" t="s">
        <v>140</v>
      </c>
      <c r="B128" s="4">
        <v>23</v>
      </c>
      <c r="C128" s="4">
        <v>14</v>
      </c>
      <c r="D128" s="5">
        <v>33</v>
      </c>
      <c r="E128" s="5" t="s">
        <v>0</v>
      </c>
      <c r="F128" s="4">
        <v>6</v>
      </c>
      <c r="G128" s="4">
        <v>36</v>
      </c>
      <c r="H128" s="5">
        <v>39.9</v>
      </c>
      <c r="J128" s="6" t="str">
        <f t="shared" si="4"/>
        <v>-6</v>
      </c>
      <c r="K128" s="6" t="str">
        <f t="shared" si="5"/>
        <v>-36</v>
      </c>
      <c r="L128" s="6" t="str">
        <f t="shared" si="6"/>
        <v>-39,9</v>
      </c>
      <c r="N128" s="2">
        <v>-6</v>
      </c>
      <c r="O128" s="2">
        <v>-36</v>
      </c>
      <c r="P128" s="2">
        <v>-39.9</v>
      </c>
    </row>
    <row r="129" spans="1:16" x14ac:dyDescent="0.25">
      <c r="A129" s="3" t="s">
        <v>141</v>
      </c>
      <c r="B129" s="4">
        <v>23</v>
      </c>
      <c r="C129" s="4">
        <v>17</v>
      </c>
      <c r="D129" s="5">
        <v>21.11</v>
      </c>
      <c r="E129" s="5" t="s">
        <v>0</v>
      </c>
      <c r="F129" s="4">
        <v>6</v>
      </c>
      <c r="G129" s="4">
        <v>19</v>
      </c>
      <c r="H129" s="5">
        <v>29.5</v>
      </c>
      <c r="J129" s="6" t="str">
        <f t="shared" si="4"/>
        <v>-6</v>
      </c>
      <c r="K129" s="6" t="str">
        <f t="shared" si="5"/>
        <v>-19</v>
      </c>
      <c r="L129" s="6" t="str">
        <f t="shared" si="6"/>
        <v>-29,5</v>
      </c>
      <c r="N129" s="2">
        <v>-6</v>
      </c>
      <c r="O129" s="2">
        <v>-19</v>
      </c>
      <c r="P129" s="2">
        <v>-29.5</v>
      </c>
    </row>
    <row r="130" spans="1:16" x14ac:dyDescent="0.25">
      <c r="A130" s="3" t="s">
        <v>142</v>
      </c>
      <c r="B130" s="4">
        <v>23</v>
      </c>
      <c r="C130" s="4">
        <v>20</v>
      </c>
      <c r="D130" s="5">
        <v>8.9700000000000006</v>
      </c>
      <c r="E130" s="5" t="s">
        <v>0</v>
      </c>
      <c r="F130" s="4">
        <v>6</v>
      </c>
      <c r="G130" s="4">
        <v>2</v>
      </c>
      <c r="H130" s="5">
        <v>16.8</v>
      </c>
      <c r="J130" s="6" t="str">
        <f t="shared" ref="J130:J193" si="7">$E130&amp;F130</f>
        <v>-6</v>
      </c>
      <c r="K130" s="6" t="str">
        <f t="shared" ref="K130:K193" si="8">$E130&amp;G130</f>
        <v>-2</v>
      </c>
      <c r="L130" s="6" t="str">
        <f t="shared" ref="L130:L193" si="9">$E130&amp;H130</f>
        <v>-16,8</v>
      </c>
      <c r="N130" s="2">
        <v>-6</v>
      </c>
      <c r="O130" s="2">
        <v>-2</v>
      </c>
      <c r="P130" s="2">
        <v>-16.8</v>
      </c>
    </row>
    <row r="131" spans="1:16" x14ac:dyDescent="0.25">
      <c r="A131" s="3" t="s">
        <v>143</v>
      </c>
      <c r="B131" s="4">
        <v>23</v>
      </c>
      <c r="C131" s="4">
        <v>22</v>
      </c>
      <c r="D131" s="5">
        <v>56.58</v>
      </c>
      <c r="E131" s="5" t="s">
        <v>0</v>
      </c>
      <c r="F131" s="4">
        <v>5</v>
      </c>
      <c r="G131" s="4">
        <v>45</v>
      </c>
      <c r="H131" s="5">
        <v>1.8</v>
      </c>
      <c r="J131" s="6" t="str">
        <f t="shared" si="7"/>
        <v>-5</v>
      </c>
      <c r="K131" s="6" t="str">
        <f t="shared" si="8"/>
        <v>-45</v>
      </c>
      <c r="L131" s="6" t="str">
        <f t="shared" si="9"/>
        <v>-1,8</v>
      </c>
      <c r="N131" s="2">
        <v>-5</v>
      </c>
      <c r="O131" s="2">
        <v>-45</v>
      </c>
      <c r="P131" s="2">
        <v>-1.8</v>
      </c>
    </row>
    <row r="132" spans="1:16" x14ac:dyDescent="0.25">
      <c r="A132" s="3" t="s">
        <v>144</v>
      </c>
      <c r="B132" s="4">
        <v>23</v>
      </c>
      <c r="C132" s="4">
        <v>25</v>
      </c>
      <c r="D132" s="5">
        <v>43.96</v>
      </c>
      <c r="E132" s="5" t="s">
        <v>0</v>
      </c>
      <c r="F132" s="4">
        <v>5</v>
      </c>
      <c r="G132" s="4">
        <v>27</v>
      </c>
      <c r="H132" s="5">
        <v>44.8</v>
      </c>
      <c r="J132" s="6" t="str">
        <f t="shared" si="7"/>
        <v>-5</v>
      </c>
      <c r="K132" s="6" t="str">
        <f t="shared" si="8"/>
        <v>-27</v>
      </c>
      <c r="L132" s="6" t="str">
        <f t="shared" si="9"/>
        <v>-44,8</v>
      </c>
      <c r="N132" s="2">
        <v>-5</v>
      </c>
      <c r="O132" s="2">
        <v>-27</v>
      </c>
      <c r="P132" s="2">
        <v>-44.8</v>
      </c>
    </row>
    <row r="133" spans="1:16" x14ac:dyDescent="0.25">
      <c r="A133" s="3" t="s">
        <v>145</v>
      </c>
      <c r="B133" s="4">
        <v>23</v>
      </c>
      <c r="C133" s="4">
        <v>28</v>
      </c>
      <c r="D133" s="5">
        <v>31.1</v>
      </c>
      <c r="E133" s="5" t="s">
        <v>0</v>
      </c>
      <c r="F133" s="4">
        <v>5</v>
      </c>
      <c r="G133" s="4">
        <v>10</v>
      </c>
      <c r="H133" s="5">
        <v>26</v>
      </c>
      <c r="J133" s="6" t="str">
        <f t="shared" si="7"/>
        <v>-5</v>
      </c>
      <c r="K133" s="6" t="str">
        <f t="shared" si="8"/>
        <v>-10</v>
      </c>
      <c r="L133" s="6" t="str">
        <f t="shared" si="9"/>
        <v>-26</v>
      </c>
      <c r="N133" s="2">
        <v>-5</v>
      </c>
      <c r="O133" s="2">
        <v>-10</v>
      </c>
      <c r="P133" s="2">
        <v>-26</v>
      </c>
    </row>
    <row r="134" spans="1:16" x14ac:dyDescent="0.25">
      <c r="A134" s="3" t="s">
        <v>146</v>
      </c>
      <c r="B134" s="4">
        <v>23</v>
      </c>
      <c r="C134" s="4">
        <v>31</v>
      </c>
      <c r="D134" s="5">
        <v>18.03</v>
      </c>
      <c r="E134" s="5" t="s">
        <v>0</v>
      </c>
      <c r="F134" s="4">
        <v>4</v>
      </c>
      <c r="G134" s="4">
        <v>53</v>
      </c>
      <c r="H134" s="5">
        <v>5.4</v>
      </c>
      <c r="J134" s="6" t="str">
        <f t="shared" si="7"/>
        <v>-4</v>
      </c>
      <c r="K134" s="6" t="str">
        <f t="shared" si="8"/>
        <v>-53</v>
      </c>
      <c r="L134" s="6" t="str">
        <f t="shared" si="9"/>
        <v>-5,4</v>
      </c>
      <c r="N134" s="2">
        <v>-4</v>
      </c>
      <c r="O134" s="2">
        <v>-53</v>
      </c>
      <c r="P134" s="2">
        <v>-5.4</v>
      </c>
    </row>
    <row r="135" spans="1:16" x14ac:dyDescent="0.25">
      <c r="A135" s="3" t="s">
        <v>147</v>
      </c>
      <c r="B135" s="4">
        <v>23</v>
      </c>
      <c r="C135" s="4">
        <v>34</v>
      </c>
      <c r="D135" s="5">
        <v>4.74</v>
      </c>
      <c r="E135" s="5" t="s">
        <v>0</v>
      </c>
      <c r="F135" s="4">
        <v>4</v>
      </c>
      <c r="G135" s="4">
        <v>35</v>
      </c>
      <c r="H135" s="5">
        <v>43.3</v>
      </c>
      <c r="J135" s="6" t="str">
        <f t="shared" si="7"/>
        <v>-4</v>
      </c>
      <c r="K135" s="6" t="str">
        <f t="shared" si="8"/>
        <v>-35</v>
      </c>
      <c r="L135" s="6" t="str">
        <f t="shared" si="9"/>
        <v>-43,3</v>
      </c>
      <c r="N135" s="2">
        <v>-4</v>
      </c>
      <c r="O135" s="2">
        <v>-35</v>
      </c>
      <c r="P135" s="2">
        <v>-43.3</v>
      </c>
    </row>
    <row r="136" spans="1:16" x14ac:dyDescent="0.25">
      <c r="A136" s="3" t="s">
        <v>148</v>
      </c>
      <c r="B136" s="4">
        <v>23</v>
      </c>
      <c r="C136" s="4">
        <v>36</v>
      </c>
      <c r="D136" s="5">
        <v>51.24</v>
      </c>
      <c r="E136" s="5" t="s">
        <v>0</v>
      </c>
      <c r="F136" s="4">
        <v>4</v>
      </c>
      <c r="G136" s="4">
        <v>18</v>
      </c>
      <c r="H136" s="5">
        <v>19.8</v>
      </c>
      <c r="J136" s="6" t="str">
        <f t="shared" si="7"/>
        <v>-4</v>
      </c>
      <c r="K136" s="6" t="str">
        <f t="shared" si="8"/>
        <v>-18</v>
      </c>
      <c r="L136" s="6" t="str">
        <f t="shared" si="9"/>
        <v>-19,8</v>
      </c>
      <c r="N136" s="2">
        <v>-4</v>
      </c>
      <c r="O136" s="2">
        <v>-18</v>
      </c>
      <c r="P136" s="2">
        <v>-19.8</v>
      </c>
    </row>
    <row r="137" spans="1:16" x14ac:dyDescent="0.25">
      <c r="A137" s="3" t="s">
        <v>149</v>
      </c>
      <c r="B137" s="4">
        <v>23</v>
      </c>
      <c r="C137" s="4">
        <v>39</v>
      </c>
      <c r="D137" s="5">
        <v>37.54</v>
      </c>
      <c r="E137" s="5" t="s">
        <v>0</v>
      </c>
      <c r="F137" s="4">
        <v>4</v>
      </c>
      <c r="G137" s="4">
        <v>0</v>
      </c>
      <c r="H137" s="5">
        <v>55.1</v>
      </c>
      <c r="J137" s="6" t="str">
        <f t="shared" si="7"/>
        <v>-4</v>
      </c>
      <c r="K137" s="6" t="str">
        <f t="shared" si="8"/>
        <v>-0</v>
      </c>
      <c r="L137" s="6" t="str">
        <f t="shared" si="9"/>
        <v>-55,1</v>
      </c>
      <c r="N137" s="2">
        <v>-4</v>
      </c>
      <c r="O137" s="2">
        <v>0</v>
      </c>
      <c r="P137" s="2">
        <v>-55.1</v>
      </c>
    </row>
    <row r="138" spans="1:16" x14ac:dyDescent="0.25">
      <c r="A138" s="3" t="s">
        <v>150</v>
      </c>
      <c r="B138" s="4">
        <v>23</v>
      </c>
      <c r="C138" s="4">
        <v>42</v>
      </c>
      <c r="D138" s="5">
        <v>23.64</v>
      </c>
      <c r="E138" s="5" t="s">
        <v>0</v>
      </c>
      <c r="F138" s="4">
        <v>3</v>
      </c>
      <c r="G138" s="4">
        <v>43</v>
      </c>
      <c r="H138" s="5">
        <v>29.4</v>
      </c>
      <c r="J138" s="6" t="str">
        <f t="shared" si="7"/>
        <v>-3</v>
      </c>
      <c r="K138" s="6" t="str">
        <f t="shared" si="8"/>
        <v>-43</v>
      </c>
      <c r="L138" s="6" t="str">
        <f t="shared" si="9"/>
        <v>-29,4</v>
      </c>
      <c r="N138" s="2">
        <v>-3</v>
      </c>
      <c r="O138" s="2">
        <v>-43</v>
      </c>
      <c r="P138" s="2">
        <v>-29.4</v>
      </c>
    </row>
    <row r="139" spans="1:16" x14ac:dyDescent="0.25">
      <c r="A139" s="3" t="s">
        <v>151</v>
      </c>
      <c r="B139" s="4">
        <v>23</v>
      </c>
      <c r="C139" s="4">
        <v>45</v>
      </c>
      <c r="D139" s="5">
        <v>9.5500000000000007</v>
      </c>
      <c r="E139" s="5" t="s">
        <v>0</v>
      </c>
      <c r="F139" s="4">
        <v>3</v>
      </c>
      <c r="G139" s="4">
        <v>26</v>
      </c>
      <c r="H139" s="5">
        <v>2.7</v>
      </c>
      <c r="J139" s="6" t="str">
        <f t="shared" si="7"/>
        <v>-3</v>
      </c>
      <c r="K139" s="6" t="str">
        <f t="shared" si="8"/>
        <v>-26</v>
      </c>
      <c r="L139" s="6" t="str">
        <f t="shared" si="9"/>
        <v>-2,7</v>
      </c>
      <c r="N139" s="2">
        <v>-3</v>
      </c>
      <c r="O139" s="2">
        <v>-26</v>
      </c>
      <c r="P139" s="2">
        <v>-2.7</v>
      </c>
    </row>
    <row r="140" spans="1:16" x14ac:dyDescent="0.25">
      <c r="A140" s="3" t="s">
        <v>152</v>
      </c>
      <c r="B140" s="4">
        <v>23</v>
      </c>
      <c r="C140" s="4">
        <v>47</v>
      </c>
      <c r="D140" s="5">
        <v>55.28</v>
      </c>
      <c r="E140" s="5" t="s">
        <v>0</v>
      </c>
      <c r="F140" s="4">
        <v>3</v>
      </c>
      <c r="G140" s="4">
        <v>8</v>
      </c>
      <c r="H140" s="5">
        <v>35.299999999999997</v>
      </c>
      <c r="J140" s="6" t="str">
        <f t="shared" si="7"/>
        <v>-3</v>
      </c>
      <c r="K140" s="6" t="str">
        <f t="shared" si="8"/>
        <v>-8</v>
      </c>
      <c r="L140" s="6" t="str">
        <f t="shared" si="9"/>
        <v>-35,3</v>
      </c>
      <c r="N140" s="2">
        <v>-3</v>
      </c>
      <c r="O140" s="2">
        <v>-8</v>
      </c>
      <c r="P140" s="2">
        <v>-35.299999999999997</v>
      </c>
    </row>
    <row r="141" spans="1:16" x14ac:dyDescent="0.25">
      <c r="A141" s="3" t="s">
        <v>153</v>
      </c>
      <c r="B141" s="4">
        <v>23</v>
      </c>
      <c r="C141" s="4">
        <v>50</v>
      </c>
      <c r="D141" s="5">
        <v>40.83</v>
      </c>
      <c r="E141" s="5" t="s">
        <v>0</v>
      </c>
      <c r="F141" s="4">
        <v>2</v>
      </c>
      <c r="G141" s="4">
        <v>51</v>
      </c>
      <c r="H141" s="5">
        <v>7.4</v>
      </c>
      <c r="J141" s="6" t="str">
        <f t="shared" si="7"/>
        <v>-2</v>
      </c>
      <c r="K141" s="6" t="str">
        <f t="shared" si="8"/>
        <v>-51</v>
      </c>
      <c r="L141" s="6" t="str">
        <f t="shared" si="9"/>
        <v>-7,4</v>
      </c>
      <c r="N141" s="2">
        <v>-2</v>
      </c>
      <c r="O141" s="2">
        <v>-51</v>
      </c>
      <c r="P141" s="2">
        <v>-7.4</v>
      </c>
    </row>
    <row r="142" spans="1:16" x14ac:dyDescent="0.25">
      <c r="A142" s="3" t="s">
        <v>154</v>
      </c>
      <c r="B142" s="4">
        <v>23</v>
      </c>
      <c r="C142" s="4">
        <v>53</v>
      </c>
      <c r="D142" s="5">
        <v>26.19</v>
      </c>
      <c r="E142" s="5" t="s">
        <v>0</v>
      </c>
      <c r="F142" s="4">
        <v>2</v>
      </c>
      <c r="G142" s="4">
        <v>33</v>
      </c>
      <c r="H142" s="5">
        <v>39.200000000000003</v>
      </c>
      <c r="J142" s="6" t="str">
        <f t="shared" si="7"/>
        <v>-2</v>
      </c>
      <c r="K142" s="6" t="str">
        <f t="shared" si="8"/>
        <v>-33</v>
      </c>
      <c r="L142" s="6" t="str">
        <f t="shared" si="9"/>
        <v>-39,2</v>
      </c>
      <c r="N142" s="2">
        <v>-2</v>
      </c>
      <c r="O142" s="2">
        <v>-33</v>
      </c>
      <c r="P142" s="2">
        <v>-39.200000000000003</v>
      </c>
    </row>
    <row r="143" spans="1:16" x14ac:dyDescent="0.25">
      <c r="A143" s="3" t="s">
        <v>155</v>
      </c>
      <c r="B143" s="4">
        <v>23</v>
      </c>
      <c r="C143" s="4">
        <v>56</v>
      </c>
      <c r="D143" s="5">
        <v>11.38</v>
      </c>
      <c r="E143" s="5" t="s">
        <v>0</v>
      </c>
      <c r="F143" s="4">
        <v>2</v>
      </c>
      <c r="G143" s="4">
        <v>16</v>
      </c>
      <c r="H143" s="5">
        <v>10.8</v>
      </c>
      <c r="J143" s="6" t="str">
        <f t="shared" si="7"/>
        <v>-2</v>
      </c>
      <c r="K143" s="6" t="str">
        <f t="shared" si="8"/>
        <v>-16</v>
      </c>
      <c r="L143" s="6" t="str">
        <f t="shared" si="9"/>
        <v>-10,8</v>
      </c>
      <c r="N143" s="2">
        <v>-2</v>
      </c>
      <c r="O143" s="2">
        <v>-16</v>
      </c>
      <c r="P143" s="2">
        <v>-10.8</v>
      </c>
    </row>
    <row r="144" spans="1:16" x14ac:dyDescent="0.25">
      <c r="A144" s="3" t="s">
        <v>156</v>
      </c>
      <c r="B144" s="4">
        <v>23</v>
      </c>
      <c r="C144" s="4">
        <v>58</v>
      </c>
      <c r="D144" s="5">
        <v>56.39</v>
      </c>
      <c r="E144" s="5" t="s">
        <v>0</v>
      </c>
      <c r="F144" s="4">
        <v>1</v>
      </c>
      <c r="G144" s="4">
        <v>58</v>
      </c>
      <c r="H144" s="5">
        <v>42.5</v>
      </c>
      <c r="J144" s="6" t="str">
        <f t="shared" si="7"/>
        <v>-1</v>
      </c>
      <c r="K144" s="6" t="str">
        <f t="shared" si="8"/>
        <v>-58</v>
      </c>
      <c r="L144" s="6" t="str">
        <f t="shared" si="9"/>
        <v>-42,5</v>
      </c>
      <c r="N144" s="2">
        <v>-1</v>
      </c>
      <c r="O144" s="2">
        <v>-58</v>
      </c>
      <c r="P144" s="2">
        <v>-42.5</v>
      </c>
    </row>
    <row r="145" spans="1:16" x14ac:dyDescent="0.25">
      <c r="A145" s="3" t="s">
        <v>157</v>
      </c>
      <c r="B145" s="4">
        <v>0</v>
      </c>
      <c r="C145" s="4">
        <v>1</v>
      </c>
      <c r="D145" s="5">
        <v>41.23</v>
      </c>
      <c r="E145" s="5" t="s">
        <v>0</v>
      </c>
      <c r="F145" s="4">
        <v>1</v>
      </c>
      <c r="G145" s="4">
        <v>41</v>
      </c>
      <c r="H145" s="5">
        <v>14.4</v>
      </c>
      <c r="J145" s="6" t="str">
        <f t="shared" si="7"/>
        <v>-1</v>
      </c>
      <c r="K145" s="6" t="str">
        <f t="shared" si="8"/>
        <v>-41</v>
      </c>
      <c r="L145" s="6" t="str">
        <f t="shared" si="9"/>
        <v>-14,4</v>
      </c>
      <c r="N145" s="2">
        <v>-1</v>
      </c>
      <c r="O145" s="2">
        <v>-41</v>
      </c>
      <c r="P145" s="2">
        <v>-14.4</v>
      </c>
    </row>
    <row r="146" spans="1:16" x14ac:dyDescent="0.25">
      <c r="A146" s="3" t="s">
        <v>158</v>
      </c>
      <c r="B146" s="4">
        <v>0</v>
      </c>
      <c r="C146" s="4">
        <v>4</v>
      </c>
      <c r="D146" s="5">
        <v>25.89</v>
      </c>
      <c r="E146" s="5" t="s">
        <v>0</v>
      </c>
      <c r="F146" s="4">
        <v>1</v>
      </c>
      <c r="G146" s="4">
        <v>23</v>
      </c>
      <c r="H146" s="5">
        <v>46.8</v>
      </c>
      <c r="J146" s="6" t="str">
        <f t="shared" si="7"/>
        <v>-1</v>
      </c>
      <c r="K146" s="6" t="str">
        <f t="shared" si="8"/>
        <v>-23</v>
      </c>
      <c r="L146" s="6" t="str">
        <f t="shared" si="9"/>
        <v>-46,8</v>
      </c>
      <c r="N146" s="2">
        <v>-1</v>
      </c>
      <c r="O146" s="2">
        <v>-23</v>
      </c>
      <c r="P146" s="2">
        <v>-46.8</v>
      </c>
    </row>
    <row r="147" spans="1:16" x14ac:dyDescent="0.25">
      <c r="A147" s="3" t="s">
        <v>159</v>
      </c>
      <c r="B147" s="4">
        <v>0</v>
      </c>
      <c r="C147" s="4">
        <v>7</v>
      </c>
      <c r="D147" s="5">
        <v>10.39</v>
      </c>
      <c r="E147" s="5" t="s">
        <v>0</v>
      </c>
      <c r="F147" s="4">
        <v>1</v>
      </c>
      <c r="G147" s="4">
        <v>6</v>
      </c>
      <c r="H147" s="5">
        <v>19.8</v>
      </c>
      <c r="J147" s="6" t="str">
        <f t="shared" si="7"/>
        <v>-1</v>
      </c>
      <c r="K147" s="6" t="str">
        <f t="shared" si="8"/>
        <v>-6</v>
      </c>
      <c r="L147" s="6" t="str">
        <f t="shared" si="9"/>
        <v>-19,8</v>
      </c>
      <c r="N147" s="2">
        <v>-1</v>
      </c>
      <c r="O147" s="2">
        <v>-6</v>
      </c>
      <c r="P147" s="2">
        <v>-19.8</v>
      </c>
    </row>
    <row r="148" spans="1:16" x14ac:dyDescent="0.25">
      <c r="A148" s="3" t="s">
        <v>160</v>
      </c>
      <c r="B148" s="4">
        <v>0</v>
      </c>
      <c r="C148" s="4">
        <v>9</v>
      </c>
      <c r="D148" s="5">
        <v>54.71</v>
      </c>
      <c r="E148" s="5" t="s">
        <v>0</v>
      </c>
      <c r="F148" s="4">
        <v>0</v>
      </c>
      <c r="G148" s="4">
        <v>48</v>
      </c>
      <c r="H148" s="5">
        <v>53.6</v>
      </c>
      <c r="J148" s="6" t="str">
        <f t="shared" si="7"/>
        <v>-0</v>
      </c>
      <c r="K148" s="6" t="str">
        <f t="shared" si="8"/>
        <v>-48</v>
      </c>
      <c r="L148" s="6" t="str">
        <f t="shared" si="9"/>
        <v>-53,6</v>
      </c>
      <c r="N148" s="2">
        <v>0</v>
      </c>
      <c r="O148" s="2">
        <v>-48</v>
      </c>
      <c r="P148" s="2">
        <v>-53.6</v>
      </c>
    </row>
    <row r="149" spans="1:16" x14ac:dyDescent="0.25">
      <c r="A149" s="3" t="s">
        <v>161</v>
      </c>
      <c r="B149" s="4">
        <v>0</v>
      </c>
      <c r="C149" s="4">
        <v>12</v>
      </c>
      <c r="D149" s="5">
        <v>38.869999999999997</v>
      </c>
      <c r="E149" s="5" t="s">
        <v>0</v>
      </c>
      <c r="F149" s="4">
        <v>0</v>
      </c>
      <c r="G149" s="4">
        <v>31</v>
      </c>
      <c r="H149" s="5">
        <v>28.5</v>
      </c>
      <c r="J149" s="6" t="str">
        <f t="shared" si="7"/>
        <v>-0</v>
      </c>
      <c r="K149" s="6" t="str">
        <f t="shared" si="8"/>
        <v>-31</v>
      </c>
      <c r="L149" s="6" t="str">
        <f t="shared" si="9"/>
        <v>-28,5</v>
      </c>
      <c r="N149" s="2">
        <v>0</v>
      </c>
      <c r="O149" s="2">
        <v>-31</v>
      </c>
      <c r="P149" s="2">
        <v>-28.5</v>
      </c>
    </row>
    <row r="150" spans="1:16" x14ac:dyDescent="0.25">
      <c r="A150" s="3" t="s">
        <v>162</v>
      </c>
      <c r="B150" s="4">
        <v>0</v>
      </c>
      <c r="C150" s="4">
        <v>15</v>
      </c>
      <c r="D150" s="5">
        <v>22.86</v>
      </c>
      <c r="E150" s="5" t="s">
        <v>0</v>
      </c>
      <c r="F150" s="4">
        <v>0</v>
      </c>
      <c r="G150" s="4">
        <v>14</v>
      </c>
      <c r="H150" s="5">
        <v>4.5</v>
      </c>
      <c r="J150" s="6" t="str">
        <f t="shared" si="7"/>
        <v>-0</v>
      </c>
      <c r="K150" s="6" t="str">
        <f t="shared" si="8"/>
        <v>-14</v>
      </c>
      <c r="L150" s="6" t="str">
        <f t="shared" si="9"/>
        <v>-4,5</v>
      </c>
      <c r="N150" s="2">
        <v>0</v>
      </c>
      <c r="O150" s="2">
        <v>-14</v>
      </c>
      <c r="P150" s="2">
        <v>-4.5</v>
      </c>
    </row>
    <row r="151" spans="1:16" x14ac:dyDescent="0.25">
      <c r="A151" s="3" t="s">
        <v>163</v>
      </c>
      <c r="B151" s="4">
        <v>0</v>
      </c>
      <c r="C151" s="4">
        <v>18</v>
      </c>
      <c r="D151" s="5">
        <v>6.69</v>
      </c>
      <c r="E151" s="5" t="s">
        <v>1</v>
      </c>
      <c r="F151" s="4">
        <v>0</v>
      </c>
      <c r="G151" s="4">
        <v>3</v>
      </c>
      <c r="H151" s="5">
        <v>18</v>
      </c>
      <c r="J151" s="6" t="str">
        <f t="shared" si="7"/>
        <v>+0</v>
      </c>
      <c r="K151" s="6" t="str">
        <f t="shared" si="8"/>
        <v>+3</v>
      </c>
      <c r="L151" s="6" t="str">
        <f t="shared" si="9"/>
        <v>+18</v>
      </c>
      <c r="N151" s="2">
        <v>0</v>
      </c>
      <c r="O151" s="2">
        <v>3</v>
      </c>
      <c r="P151" s="2">
        <v>18</v>
      </c>
    </row>
    <row r="152" spans="1:16" x14ac:dyDescent="0.25">
      <c r="A152" s="3" t="s">
        <v>164</v>
      </c>
      <c r="B152" s="4">
        <v>0</v>
      </c>
      <c r="C152" s="4">
        <v>20</v>
      </c>
      <c r="D152" s="5">
        <v>50.36</v>
      </c>
      <c r="E152" s="5" t="s">
        <v>1</v>
      </c>
      <c r="F152" s="4">
        <v>0</v>
      </c>
      <c r="G152" s="4">
        <v>20</v>
      </c>
      <c r="H152" s="5">
        <v>39</v>
      </c>
      <c r="J152" s="6" t="str">
        <f t="shared" si="7"/>
        <v>+0</v>
      </c>
      <c r="K152" s="6" t="str">
        <f t="shared" si="8"/>
        <v>+20</v>
      </c>
      <c r="L152" s="6" t="str">
        <f t="shared" si="9"/>
        <v>+39</v>
      </c>
      <c r="N152" s="2">
        <v>0</v>
      </c>
      <c r="O152" s="2">
        <v>20</v>
      </c>
      <c r="P152" s="2">
        <v>39</v>
      </c>
    </row>
    <row r="153" spans="1:16" x14ac:dyDescent="0.25">
      <c r="A153" s="3" t="s">
        <v>165</v>
      </c>
      <c r="B153" s="4">
        <v>0</v>
      </c>
      <c r="C153" s="4">
        <v>23</v>
      </c>
      <c r="D153" s="5">
        <v>33.880000000000003</v>
      </c>
      <c r="E153" s="5" t="s">
        <v>1</v>
      </c>
      <c r="F153" s="4">
        <v>0</v>
      </c>
      <c r="G153" s="4">
        <v>37</v>
      </c>
      <c r="H153" s="5">
        <v>58.2</v>
      </c>
      <c r="J153" s="6" t="str">
        <f t="shared" si="7"/>
        <v>+0</v>
      </c>
      <c r="K153" s="6" t="str">
        <f t="shared" si="8"/>
        <v>+37</v>
      </c>
      <c r="L153" s="6" t="str">
        <f t="shared" si="9"/>
        <v>+58,2</v>
      </c>
      <c r="N153" s="2">
        <v>0</v>
      </c>
      <c r="O153" s="2">
        <v>37</v>
      </c>
      <c r="P153" s="2">
        <v>58.2</v>
      </c>
    </row>
    <row r="154" spans="1:16" x14ac:dyDescent="0.25">
      <c r="A154" s="3" t="s">
        <v>166</v>
      </c>
      <c r="B154" s="4">
        <v>0</v>
      </c>
      <c r="C154" s="4">
        <v>26</v>
      </c>
      <c r="D154" s="5">
        <v>17.239999999999998</v>
      </c>
      <c r="E154" s="5" t="s">
        <v>1</v>
      </c>
      <c r="F154" s="4">
        <v>0</v>
      </c>
      <c r="G154" s="4">
        <v>55</v>
      </c>
      <c r="H154" s="5">
        <v>15.6</v>
      </c>
      <c r="J154" s="6" t="str">
        <f t="shared" si="7"/>
        <v>+0</v>
      </c>
      <c r="K154" s="6" t="str">
        <f t="shared" si="8"/>
        <v>+55</v>
      </c>
      <c r="L154" s="6" t="str">
        <f t="shared" si="9"/>
        <v>+15,6</v>
      </c>
      <c r="N154" s="2">
        <v>0</v>
      </c>
      <c r="O154" s="2">
        <v>55</v>
      </c>
      <c r="P154" s="2">
        <v>15.6</v>
      </c>
    </row>
    <row r="155" spans="1:16" x14ac:dyDescent="0.25">
      <c r="A155" s="3" t="s">
        <v>167</v>
      </c>
      <c r="B155" s="4">
        <v>0</v>
      </c>
      <c r="C155" s="4">
        <v>29</v>
      </c>
      <c r="D155" s="5">
        <v>0.45</v>
      </c>
      <c r="E155" s="5" t="s">
        <v>1</v>
      </c>
      <c r="F155" s="4">
        <v>1</v>
      </c>
      <c r="G155" s="4">
        <v>12</v>
      </c>
      <c r="H155" s="5">
        <v>30.8</v>
      </c>
      <c r="J155" s="6" t="str">
        <f t="shared" si="7"/>
        <v>+1</v>
      </c>
      <c r="K155" s="6" t="str">
        <f t="shared" si="8"/>
        <v>+12</v>
      </c>
      <c r="L155" s="6" t="str">
        <f t="shared" si="9"/>
        <v>+30,8</v>
      </c>
      <c r="N155" s="2">
        <v>1</v>
      </c>
      <c r="O155" s="2">
        <v>12</v>
      </c>
      <c r="P155" s="2">
        <v>30.8</v>
      </c>
    </row>
    <row r="156" spans="1:16" x14ac:dyDescent="0.25">
      <c r="A156" s="3" t="s">
        <v>168</v>
      </c>
      <c r="B156" s="4">
        <v>0</v>
      </c>
      <c r="C156" s="4">
        <v>31</v>
      </c>
      <c r="D156" s="5">
        <v>43.52</v>
      </c>
      <c r="E156" s="5" t="s">
        <v>1</v>
      </c>
      <c r="F156" s="4">
        <v>1</v>
      </c>
      <c r="G156" s="4">
        <v>29</v>
      </c>
      <c r="H156" s="5">
        <v>43.7</v>
      </c>
      <c r="J156" s="6" t="str">
        <f t="shared" si="7"/>
        <v>+1</v>
      </c>
      <c r="K156" s="6" t="str">
        <f t="shared" si="8"/>
        <v>+29</v>
      </c>
      <c r="L156" s="6" t="str">
        <f t="shared" si="9"/>
        <v>+43,7</v>
      </c>
      <c r="N156" s="2">
        <v>1</v>
      </c>
      <c r="O156" s="2">
        <v>29</v>
      </c>
      <c r="P156" s="2">
        <v>43.7</v>
      </c>
    </row>
    <row r="157" spans="1:16" x14ac:dyDescent="0.25">
      <c r="A157" s="3" t="s">
        <v>169</v>
      </c>
      <c r="B157" s="4">
        <v>0</v>
      </c>
      <c r="C157" s="4">
        <v>34</v>
      </c>
      <c r="D157" s="5">
        <v>26.44</v>
      </c>
      <c r="E157" s="5" t="s">
        <v>1</v>
      </c>
      <c r="F157" s="4">
        <v>1</v>
      </c>
      <c r="G157" s="4">
        <v>46</v>
      </c>
      <c r="H157" s="5">
        <v>54.3</v>
      </c>
      <c r="J157" s="6" t="str">
        <f t="shared" si="7"/>
        <v>+1</v>
      </c>
      <c r="K157" s="6" t="str">
        <f t="shared" si="8"/>
        <v>+46</v>
      </c>
      <c r="L157" s="6" t="str">
        <f t="shared" si="9"/>
        <v>+54,3</v>
      </c>
      <c r="N157" s="2">
        <v>1</v>
      </c>
      <c r="O157" s="2">
        <v>46</v>
      </c>
      <c r="P157" s="2">
        <v>54.3</v>
      </c>
    </row>
    <row r="158" spans="1:16" x14ac:dyDescent="0.25">
      <c r="A158" s="3" t="s">
        <v>170</v>
      </c>
      <c r="B158" s="4">
        <v>0</v>
      </c>
      <c r="C158" s="4">
        <v>37</v>
      </c>
      <c r="D158" s="5">
        <v>9.23</v>
      </c>
      <c r="E158" s="5" t="s">
        <v>1</v>
      </c>
      <c r="F158" s="4">
        <v>2</v>
      </c>
      <c r="G158" s="4">
        <v>4</v>
      </c>
      <c r="H158" s="5">
        <v>2.2000000000000002</v>
      </c>
      <c r="J158" s="6" t="str">
        <f t="shared" si="7"/>
        <v>+2</v>
      </c>
      <c r="K158" s="6" t="str">
        <f t="shared" si="8"/>
        <v>+4</v>
      </c>
      <c r="L158" s="6" t="str">
        <f t="shared" si="9"/>
        <v>+2,2</v>
      </c>
      <c r="N158" s="2">
        <v>2</v>
      </c>
      <c r="O158" s="2">
        <v>4</v>
      </c>
      <c r="P158" s="2">
        <v>2.2000000000000002</v>
      </c>
    </row>
    <row r="159" spans="1:16" x14ac:dyDescent="0.25">
      <c r="A159" s="3" t="s">
        <v>171</v>
      </c>
      <c r="B159" s="4">
        <v>0</v>
      </c>
      <c r="C159" s="4">
        <v>39</v>
      </c>
      <c r="D159" s="5">
        <v>51.88</v>
      </c>
      <c r="E159" s="5" t="s">
        <v>1</v>
      </c>
      <c r="F159" s="4">
        <v>2</v>
      </c>
      <c r="G159" s="4">
        <v>21</v>
      </c>
      <c r="H159" s="5">
        <v>7.5</v>
      </c>
      <c r="J159" s="6" t="str">
        <f t="shared" si="7"/>
        <v>+2</v>
      </c>
      <c r="K159" s="6" t="str">
        <f t="shared" si="8"/>
        <v>+21</v>
      </c>
      <c r="L159" s="6" t="str">
        <f t="shared" si="9"/>
        <v>+7,5</v>
      </c>
      <c r="N159" s="2">
        <v>2</v>
      </c>
      <c r="O159" s="2">
        <v>21</v>
      </c>
      <c r="P159" s="2">
        <v>7.5</v>
      </c>
    </row>
    <row r="160" spans="1:16" x14ac:dyDescent="0.25">
      <c r="A160" s="3" t="s">
        <v>172</v>
      </c>
      <c r="B160" s="4">
        <v>0</v>
      </c>
      <c r="C160" s="4">
        <v>42</v>
      </c>
      <c r="D160" s="5">
        <v>34.409999999999997</v>
      </c>
      <c r="E160" s="5" t="s">
        <v>1</v>
      </c>
      <c r="F160" s="4">
        <v>2</v>
      </c>
      <c r="G160" s="4">
        <v>38</v>
      </c>
      <c r="H160" s="5">
        <v>9.8000000000000007</v>
      </c>
      <c r="J160" s="6" t="str">
        <f t="shared" si="7"/>
        <v>+2</v>
      </c>
      <c r="K160" s="6" t="str">
        <f t="shared" si="8"/>
        <v>+38</v>
      </c>
      <c r="L160" s="6" t="str">
        <f t="shared" si="9"/>
        <v>+9,8</v>
      </c>
      <c r="N160" s="2">
        <v>2</v>
      </c>
      <c r="O160" s="2">
        <v>38</v>
      </c>
      <c r="P160" s="2">
        <v>9.8000000000000007</v>
      </c>
    </row>
    <row r="161" spans="1:16" x14ac:dyDescent="0.25">
      <c r="A161" s="3" t="s">
        <v>173</v>
      </c>
      <c r="B161" s="4">
        <v>0</v>
      </c>
      <c r="C161" s="4">
        <v>45</v>
      </c>
      <c r="D161" s="5">
        <v>16.809999999999999</v>
      </c>
      <c r="E161" s="5" t="s">
        <v>1</v>
      </c>
      <c r="F161" s="4">
        <v>2</v>
      </c>
      <c r="G161" s="4">
        <v>55</v>
      </c>
      <c r="H161" s="5">
        <v>9.1</v>
      </c>
      <c r="J161" s="6" t="str">
        <f t="shared" si="7"/>
        <v>+2</v>
      </c>
      <c r="K161" s="6" t="str">
        <f t="shared" si="8"/>
        <v>+55</v>
      </c>
      <c r="L161" s="6" t="str">
        <f t="shared" si="9"/>
        <v>+9,1</v>
      </c>
      <c r="N161" s="2">
        <v>2</v>
      </c>
      <c r="O161" s="2">
        <v>55</v>
      </c>
      <c r="P161" s="2">
        <v>9.1</v>
      </c>
    </row>
    <row r="162" spans="1:16" x14ac:dyDescent="0.25">
      <c r="A162" s="3" t="s">
        <v>174</v>
      </c>
      <c r="B162" s="4">
        <v>0</v>
      </c>
      <c r="C162" s="4">
        <v>47</v>
      </c>
      <c r="D162" s="5">
        <v>59.09</v>
      </c>
      <c r="E162" s="5" t="s">
        <v>1</v>
      </c>
      <c r="F162" s="4">
        <v>3</v>
      </c>
      <c r="G162" s="4">
        <v>12</v>
      </c>
      <c r="H162" s="5">
        <v>5.3</v>
      </c>
      <c r="J162" s="6" t="str">
        <f t="shared" si="7"/>
        <v>+3</v>
      </c>
      <c r="K162" s="6" t="str">
        <f t="shared" si="8"/>
        <v>+12</v>
      </c>
      <c r="L162" s="6" t="str">
        <f t="shared" si="9"/>
        <v>+5,3</v>
      </c>
      <c r="N162" s="2">
        <v>3</v>
      </c>
      <c r="O162" s="2">
        <v>12</v>
      </c>
      <c r="P162" s="2">
        <v>5.3</v>
      </c>
    </row>
    <row r="163" spans="1:16" x14ac:dyDescent="0.25">
      <c r="A163" s="3" t="s">
        <v>175</v>
      </c>
      <c r="B163" s="4">
        <v>0</v>
      </c>
      <c r="C163" s="4">
        <v>50</v>
      </c>
      <c r="D163" s="5">
        <v>41.27</v>
      </c>
      <c r="E163" s="5" t="s">
        <v>1</v>
      </c>
      <c r="F163" s="4">
        <v>3</v>
      </c>
      <c r="G163" s="4">
        <v>28</v>
      </c>
      <c r="H163" s="5">
        <v>58.1</v>
      </c>
      <c r="J163" s="6" t="str">
        <f t="shared" si="7"/>
        <v>+3</v>
      </c>
      <c r="K163" s="6" t="str">
        <f t="shared" si="8"/>
        <v>+28</v>
      </c>
      <c r="L163" s="6" t="str">
        <f t="shared" si="9"/>
        <v>+58,1</v>
      </c>
      <c r="N163" s="2">
        <v>3</v>
      </c>
      <c r="O163" s="2">
        <v>28</v>
      </c>
      <c r="P163" s="2">
        <v>58.1</v>
      </c>
    </row>
    <row r="164" spans="1:16" x14ac:dyDescent="0.25">
      <c r="A164" s="3" t="s">
        <v>176</v>
      </c>
      <c r="B164" s="4">
        <v>0</v>
      </c>
      <c r="C164" s="4">
        <v>53</v>
      </c>
      <c r="D164" s="5">
        <v>23.33</v>
      </c>
      <c r="E164" s="5" t="s">
        <v>1</v>
      </c>
      <c r="F164" s="4">
        <v>3</v>
      </c>
      <c r="G164" s="4">
        <v>45</v>
      </c>
      <c r="H164" s="5">
        <v>47.5</v>
      </c>
      <c r="J164" s="6" t="str">
        <f t="shared" si="7"/>
        <v>+3</v>
      </c>
      <c r="K164" s="6" t="str">
        <f t="shared" si="8"/>
        <v>+45</v>
      </c>
      <c r="L164" s="6" t="str">
        <f t="shared" si="9"/>
        <v>+47,5</v>
      </c>
      <c r="N164" s="2">
        <v>3</v>
      </c>
      <c r="O164" s="2">
        <v>45</v>
      </c>
      <c r="P164" s="2">
        <v>47.5</v>
      </c>
    </row>
    <row r="165" spans="1:16" x14ac:dyDescent="0.25">
      <c r="A165" s="3" t="s">
        <v>177</v>
      </c>
      <c r="B165" s="4">
        <v>0</v>
      </c>
      <c r="C165" s="4">
        <v>56</v>
      </c>
      <c r="D165" s="5">
        <v>5.29</v>
      </c>
      <c r="E165" s="5" t="s">
        <v>1</v>
      </c>
      <c r="F165" s="4">
        <v>4</v>
      </c>
      <c r="G165" s="4">
        <v>2</v>
      </c>
      <c r="H165" s="5">
        <v>33.4</v>
      </c>
      <c r="J165" s="6" t="str">
        <f t="shared" si="7"/>
        <v>+4</v>
      </c>
      <c r="K165" s="6" t="str">
        <f t="shared" si="8"/>
        <v>+2</v>
      </c>
      <c r="L165" s="6" t="str">
        <f t="shared" si="9"/>
        <v>+33,4</v>
      </c>
      <c r="N165" s="2">
        <v>4</v>
      </c>
      <c r="O165" s="2">
        <v>2</v>
      </c>
      <c r="P165" s="2">
        <v>33.4</v>
      </c>
    </row>
    <row r="166" spans="1:16" x14ac:dyDescent="0.25">
      <c r="A166" s="3" t="s">
        <v>178</v>
      </c>
      <c r="B166" s="4">
        <v>0</v>
      </c>
      <c r="C166" s="4">
        <v>58</v>
      </c>
      <c r="D166" s="5">
        <v>47.15</v>
      </c>
      <c r="E166" s="5" t="s">
        <v>1</v>
      </c>
      <c r="F166" s="4">
        <v>4</v>
      </c>
      <c r="G166" s="4">
        <v>19</v>
      </c>
      <c r="H166" s="5">
        <v>15.5</v>
      </c>
      <c r="J166" s="6" t="str">
        <f t="shared" si="7"/>
        <v>+4</v>
      </c>
      <c r="K166" s="6" t="str">
        <f t="shared" si="8"/>
        <v>+19</v>
      </c>
      <c r="L166" s="6" t="str">
        <f t="shared" si="9"/>
        <v>+15,5</v>
      </c>
      <c r="N166" s="2">
        <v>4</v>
      </c>
      <c r="O166" s="2">
        <v>19</v>
      </c>
      <c r="P166" s="2">
        <v>15.5</v>
      </c>
    </row>
    <row r="167" spans="1:16" x14ac:dyDescent="0.25">
      <c r="A167" s="3" t="s">
        <v>179</v>
      </c>
      <c r="B167" s="4">
        <v>1</v>
      </c>
      <c r="C167" s="4">
        <v>1</v>
      </c>
      <c r="D167" s="5">
        <v>28.92</v>
      </c>
      <c r="E167" s="5" t="s">
        <v>1</v>
      </c>
      <c r="F167" s="4">
        <v>4</v>
      </c>
      <c r="G167" s="4">
        <v>35</v>
      </c>
      <c r="H167" s="5">
        <v>53.8</v>
      </c>
      <c r="J167" s="6" t="str">
        <f t="shared" si="7"/>
        <v>+4</v>
      </c>
      <c r="K167" s="6" t="str">
        <f t="shared" si="8"/>
        <v>+35</v>
      </c>
      <c r="L167" s="6" t="str">
        <f t="shared" si="9"/>
        <v>+53,8</v>
      </c>
      <c r="N167" s="2">
        <v>4</v>
      </c>
      <c r="O167" s="2">
        <v>35</v>
      </c>
      <c r="P167" s="2">
        <v>53.8</v>
      </c>
    </row>
    <row r="168" spans="1:16" x14ac:dyDescent="0.25">
      <c r="A168" s="3" t="s">
        <v>180</v>
      </c>
      <c r="B168" s="4">
        <v>1</v>
      </c>
      <c r="C168" s="4">
        <v>4</v>
      </c>
      <c r="D168" s="5">
        <v>10.6</v>
      </c>
      <c r="E168" s="5" t="s">
        <v>1</v>
      </c>
      <c r="F168" s="4">
        <v>4</v>
      </c>
      <c r="G168" s="4">
        <v>52</v>
      </c>
      <c r="H168" s="5">
        <v>28.1</v>
      </c>
      <c r="J168" s="6" t="str">
        <f t="shared" si="7"/>
        <v>+4</v>
      </c>
      <c r="K168" s="6" t="str">
        <f t="shared" si="8"/>
        <v>+52</v>
      </c>
      <c r="L168" s="6" t="str">
        <f t="shared" si="9"/>
        <v>+28,1</v>
      </c>
      <c r="N168" s="2">
        <v>4</v>
      </c>
      <c r="O168" s="2">
        <v>52</v>
      </c>
      <c r="P168" s="2">
        <v>28.1</v>
      </c>
    </row>
    <row r="169" spans="1:16" x14ac:dyDescent="0.25">
      <c r="A169" s="3" t="s">
        <v>181</v>
      </c>
      <c r="B169" s="4">
        <v>1</v>
      </c>
      <c r="C169" s="4">
        <v>6</v>
      </c>
      <c r="D169" s="5">
        <v>52.18</v>
      </c>
      <c r="E169" s="5" t="s">
        <v>1</v>
      </c>
      <c r="F169" s="4">
        <v>5</v>
      </c>
      <c r="G169" s="4">
        <v>8</v>
      </c>
      <c r="H169" s="5">
        <v>58.2</v>
      </c>
      <c r="J169" s="6" t="str">
        <f t="shared" si="7"/>
        <v>+5</v>
      </c>
      <c r="K169" s="6" t="str">
        <f t="shared" si="8"/>
        <v>+8</v>
      </c>
      <c r="L169" s="6" t="str">
        <f t="shared" si="9"/>
        <v>+58,2</v>
      </c>
      <c r="N169" s="2">
        <v>5</v>
      </c>
      <c r="O169" s="2">
        <v>8</v>
      </c>
      <c r="P169" s="2">
        <v>58.2</v>
      </c>
    </row>
    <row r="170" spans="1:16" x14ac:dyDescent="0.25">
      <c r="A170" s="3" t="s">
        <v>182</v>
      </c>
      <c r="B170" s="4">
        <v>1</v>
      </c>
      <c r="C170" s="4">
        <v>9</v>
      </c>
      <c r="D170" s="5">
        <v>33.659999999999997</v>
      </c>
      <c r="E170" s="5" t="s">
        <v>1</v>
      </c>
      <c r="F170" s="4">
        <v>5</v>
      </c>
      <c r="G170" s="4">
        <v>25</v>
      </c>
      <c r="H170" s="5">
        <v>23.9</v>
      </c>
      <c r="J170" s="6" t="str">
        <f t="shared" si="7"/>
        <v>+5</v>
      </c>
      <c r="K170" s="6" t="str">
        <f t="shared" si="8"/>
        <v>+25</v>
      </c>
      <c r="L170" s="6" t="str">
        <f t="shared" si="9"/>
        <v>+23,9</v>
      </c>
      <c r="N170" s="2">
        <v>5</v>
      </c>
      <c r="O170" s="2">
        <v>25</v>
      </c>
      <c r="P170" s="2">
        <v>23.9</v>
      </c>
    </row>
    <row r="171" spans="1:16" x14ac:dyDescent="0.25">
      <c r="A171" s="3" t="s">
        <v>183</v>
      </c>
      <c r="B171" s="4">
        <v>1</v>
      </c>
      <c r="C171" s="4">
        <v>12</v>
      </c>
      <c r="D171" s="5">
        <v>15.06</v>
      </c>
      <c r="E171" s="5" t="s">
        <v>1</v>
      </c>
      <c r="F171" s="4">
        <v>5</v>
      </c>
      <c r="G171" s="4">
        <v>41</v>
      </c>
      <c r="H171" s="5">
        <v>45.2</v>
      </c>
      <c r="J171" s="6" t="str">
        <f t="shared" si="7"/>
        <v>+5</v>
      </c>
      <c r="K171" s="6" t="str">
        <f t="shared" si="8"/>
        <v>+41</v>
      </c>
      <c r="L171" s="6" t="str">
        <f t="shared" si="9"/>
        <v>+45,2</v>
      </c>
      <c r="N171" s="2">
        <v>5</v>
      </c>
      <c r="O171" s="2">
        <v>41</v>
      </c>
      <c r="P171" s="2">
        <v>45.2</v>
      </c>
    </row>
    <row r="172" spans="1:16" x14ac:dyDescent="0.25">
      <c r="A172" s="3" t="s">
        <v>184</v>
      </c>
      <c r="B172" s="4">
        <v>1</v>
      </c>
      <c r="C172" s="4">
        <v>14</v>
      </c>
      <c r="D172" s="5">
        <v>56.35</v>
      </c>
      <c r="E172" s="5" t="s">
        <v>1</v>
      </c>
      <c r="F172" s="4">
        <v>5</v>
      </c>
      <c r="G172" s="4">
        <v>58</v>
      </c>
      <c r="H172" s="5">
        <v>1.8</v>
      </c>
      <c r="J172" s="6" t="str">
        <f t="shared" si="7"/>
        <v>+5</v>
      </c>
      <c r="K172" s="6" t="str">
        <f t="shared" si="8"/>
        <v>+58</v>
      </c>
      <c r="L172" s="6" t="str">
        <f t="shared" si="9"/>
        <v>+1,8</v>
      </c>
      <c r="N172" s="2">
        <v>5</v>
      </c>
      <c r="O172" s="2">
        <v>58</v>
      </c>
      <c r="P172" s="2">
        <v>1.8</v>
      </c>
    </row>
    <row r="173" spans="1:16" x14ac:dyDescent="0.25">
      <c r="A173" s="3" t="s">
        <v>185</v>
      </c>
      <c r="B173" s="4">
        <v>1</v>
      </c>
      <c r="C173" s="4">
        <v>17</v>
      </c>
      <c r="D173" s="5">
        <v>37.549999999999997</v>
      </c>
      <c r="E173" s="5" t="s">
        <v>1</v>
      </c>
      <c r="F173" s="4">
        <v>6</v>
      </c>
      <c r="G173" s="4">
        <v>14</v>
      </c>
      <c r="H173" s="5">
        <v>13.6</v>
      </c>
      <c r="J173" s="6" t="str">
        <f t="shared" si="7"/>
        <v>+6</v>
      </c>
      <c r="K173" s="6" t="str">
        <f t="shared" si="8"/>
        <v>+14</v>
      </c>
      <c r="L173" s="6" t="str">
        <f t="shared" si="9"/>
        <v>+13,6</v>
      </c>
      <c r="N173" s="2">
        <v>6</v>
      </c>
      <c r="O173" s="2">
        <v>14</v>
      </c>
      <c r="P173" s="2">
        <v>13.6</v>
      </c>
    </row>
    <row r="174" spans="1:16" x14ac:dyDescent="0.25">
      <c r="A174" s="3" t="s">
        <v>186</v>
      </c>
      <c r="B174" s="4">
        <v>1</v>
      </c>
      <c r="C174" s="4">
        <v>20</v>
      </c>
      <c r="D174" s="5">
        <v>18.64</v>
      </c>
      <c r="E174" s="5" t="s">
        <v>1</v>
      </c>
      <c r="F174" s="4">
        <v>6</v>
      </c>
      <c r="G174" s="4">
        <v>30</v>
      </c>
      <c r="H174" s="5">
        <v>20.399999999999999</v>
      </c>
      <c r="J174" s="6" t="str">
        <f t="shared" si="7"/>
        <v>+6</v>
      </c>
      <c r="K174" s="6" t="str">
        <f t="shared" si="8"/>
        <v>+30</v>
      </c>
      <c r="L174" s="6" t="str">
        <f t="shared" si="9"/>
        <v>+20,4</v>
      </c>
      <c r="N174" s="2">
        <v>6</v>
      </c>
      <c r="O174" s="2">
        <v>30</v>
      </c>
      <c r="P174" s="2">
        <v>20.399999999999999</v>
      </c>
    </row>
    <row r="175" spans="1:16" x14ac:dyDescent="0.25">
      <c r="A175" s="3" t="s">
        <v>187</v>
      </c>
      <c r="B175" s="4">
        <v>1</v>
      </c>
      <c r="C175" s="4">
        <v>22</v>
      </c>
      <c r="D175" s="5">
        <v>59.63</v>
      </c>
      <c r="E175" s="5" t="s">
        <v>1</v>
      </c>
      <c r="F175" s="4">
        <v>6</v>
      </c>
      <c r="G175" s="4">
        <v>46</v>
      </c>
      <c r="H175" s="5">
        <v>22</v>
      </c>
      <c r="J175" s="6" t="str">
        <f t="shared" si="7"/>
        <v>+6</v>
      </c>
      <c r="K175" s="6" t="str">
        <f t="shared" si="8"/>
        <v>+46</v>
      </c>
      <c r="L175" s="6" t="str">
        <f t="shared" si="9"/>
        <v>+22</v>
      </c>
      <c r="N175" s="2">
        <v>6</v>
      </c>
      <c r="O175" s="2">
        <v>46</v>
      </c>
      <c r="P175" s="2">
        <v>22</v>
      </c>
    </row>
    <row r="176" spans="1:16" x14ac:dyDescent="0.25">
      <c r="A176" s="3" t="s">
        <v>188</v>
      </c>
      <c r="B176" s="4">
        <v>1</v>
      </c>
      <c r="C176" s="4">
        <v>25</v>
      </c>
      <c r="D176" s="5">
        <v>40.51</v>
      </c>
      <c r="E176" s="5" t="s">
        <v>1</v>
      </c>
      <c r="F176" s="4">
        <v>7</v>
      </c>
      <c r="G176" s="4">
        <v>2</v>
      </c>
      <c r="H176" s="5">
        <v>18.3</v>
      </c>
      <c r="J176" s="6" t="str">
        <f t="shared" si="7"/>
        <v>+7</v>
      </c>
      <c r="K176" s="6" t="str">
        <f t="shared" si="8"/>
        <v>+2</v>
      </c>
      <c r="L176" s="6" t="str">
        <f t="shared" si="9"/>
        <v>+18,3</v>
      </c>
      <c r="N176" s="2">
        <v>7</v>
      </c>
      <c r="O176" s="2">
        <v>2</v>
      </c>
      <c r="P176" s="2">
        <v>18.3</v>
      </c>
    </row>
    <row r="177" spans="1:16" x14ac:dyDescent="0.25">
      <c r="A177" s="3" t="s">
        <v>189</v>
      </c>
      <c r="B177" s="4">
        <v>1</v>
      </c>
      <c r="C177" s="4">
        <v>28</v>
      </c>
      <c r="D177" s="5">
        <v>21.28</v>
      </c>
      <c r="E177" s="5" t="s">
        <v>1</v>
      </c>
      <c r="F177" s="4">
        <v>7</v>
      </c>
      <c r="G177" s="4">
        <v>18</v>
      </c>
      <c r="H177" s="5">
        <v>9.1</v>
      </c>
      <c r="J177" s="6" t="str">
        <f t="shared" si="7"/>
        <v>+7</v>
      </c>
      <c r="K177" s="6" t="str">
        <f t="shared" si="8"/>
        <v>+18</v>
      </c>
      <c r="L177" s="6" t="str">
        <f t="shared" si="9"/>
        <v>+9,1</v>
      </c>
      <c r="N177" s="2">
        <v>7</v>
      </c>
      <c r="O177" s="2">
        <v>18</v>
      </c>
      <c r="P177" s="2">
        <v>9.1</v>
      </c>
    </row>
    <row r="178" spans="1:16" x14ac:dyDescent="0.25">
      <c r="A178" s="3" t="s">
        <v>190</v>
      </c>
      <c r="B178" s="4">
        <v>1</v>
      </c>
      <c r="C178" s="4">
        <v>31</v>
      </c>
      <c r="D178" s="5">
        <v>1.94</v>
      </c>
      <c r="E178" s="5" t="s">
        <v>1</v>
      </c>
      <c r="F178" s="4">
        <v>7</v>
      </c>
      <c r="G178" s="4">
        <v>33</v>
      </c>
      <c r="H178" s="5">
        <v>54.2</v>
      </c>
      <c r="J178" s="6" t="str">
        <f t="shared" si="7"/>
        <v>+7</v>
      </c>
      <c r="K178" s="6" t="str">
        <f t="shared" si="8"/>
        <v>+33</v>
      </c>
      <c r="L178" s="6" t="str">
        <f t="shared" si="9"/>
        <v>+54,2</v>
      </c>
      <c r="N178" s="2">
        <v>7</v>
      </c>
      <c r="O178" s="2">
        <v>33</v>
      </c>
      <c r="P178" s="2">
        <v>54.2</v>
      </c>
    </row>
    <row r="179" spans="1:16" x14ac:dyDescent="0.25">
      <c r="A179" s="3" t="s">
        <v>191</v>
      </c>
      <c r="B179" s="4">
        <v>1</v>
      </c>
      <c r="C179" s="4">
        <v>33</v>
      </c>
      <c r="D179" s="5">
        <v>42.48</v>
      </c>
      <c r="E179" s="5" t="s">
        <v>1</v>
      </c>
      <c r="F179" s="4">
        <v>7</v>
      </c>
      <c r="G179" s="4">
        <v>49</v>
      </c>
      <c r="H179" s="5">
        <v>33.5</v>
      </c>
      <c r="J179" s="6" t="str">
        <f t="shared" si="7"/>
        <v>+7</v>
      </c>
      <c r="K179" s="6" t="str">
        <f t="shared" si="8"/>
        <v>+49</v>
      </c>
      <c r="L179" s="6" t="str">
        <f t="shared" si="9"/>
        <v>+33,5</v>
      </c>
      <c r="N179" s="2">
        <v>7</v>
      </c>
      <c r="O179" s="2">
        <v>49</v>
      </c>
      <c r="P179" s="2">
        <v>33.5</v>
      </c>
    </row>
    <row r="180" spans="1:16" x14ac:dyDescent="0.25">
      <c r="A180" s="3" t="s">
        <v>192</v>
      </c>
      <c r="B180" s="4">
        <v>1</v>
      </c>
      <c r="C180" s="4">
        <v>36</v>
      </c>
      <c r="D180" s="5">
        <v>22.9</v>
      </c>
      <c r="E180" s="5" t="s">
        <v>1</v>
      </c>
      <c r="F180" s="4">
        <v>8</v>
      </c>
      <c r="G180" s="4">
        <v>5</v>
      </c>
      <c r="H180" s="5">
        <v>6.8</v>
      </c>
      <c r="J180" s="6" t="str">
        <f t="shared" si="7"/>
        <v>+8</v>
      </c>
      <c r="K180" s="6" t="str">
        <f t="shared" si="8"/>
        <v>+5</v>
      </c>
      <c r="L180" s="6" t="str">
        <f t="shared" si="9"/>
        <v>+6,8</v>
      </c>
      <c r="N180" s="2">
        <v>8</v>
      </c>
      <c r="O180" s="2">
        <v>5</v>
      </c>
      <c r="P180" s="2">
        <v>6.8</v>
      </c>
    </row>
    <row r="181" spans="1:16" x14ac:dyDescent="0.25">
      <c r="A181" s="3" t="s">
        <v>193</v>
      </c>
      <c r="B181" s="4">
        <v>1</v>
      </c>
      <c r="C181" s="4">
        <v>39</v>
      </c>
      <c r="D181" s="5">
        <v>3.2</v>
      </c>
      <c r="E181" s="5" t="s">
        <v>1</v>
      </c>
      <c r="F181" s="4">
        <v>8</v>
      </c>
      <c r="G181" s="4">
        <v>20</v>
      </c>
      <c r="H181" s="5">
        <v>34.1</v>
      </c>
      <c r="J181" s="6" t="str">
        <f t="shared" si="7"/>
        <v>+8</v>
      </c>
      <c r="K181" s="6" t="str">
        <f t="shared" si="8"/>
        <v>+20</v>
      </c>
      <c r="L181" s="6" t="str">
        <f t="shared" si="9"/>
        <v>+34,1</v>
      </c>
      <c r="N181" s="2">
        <v>8</v>
      </c>
      <c r="O181" s="2">
        <v>20</v>
      </c>
      <c r="P181" s="2">
        <v>34.1</v>
      </c>
    </row>
    <row r="182" spans="1:16" x14ac:dyDescent="0.25">
      <c r="A182" s="3" t="s">
        <v>194</v>
      </c>
      <c r="B182" s="4">
        <v>1</v>
      </c>
      <c r="C182" s="4">
        <v>41</v>
      </c>
      <c r="D182" s="5">
        <v>43.37</v>
      </c>
      <c r="E182" s="5" t="s">
        <v>1</v>
      </c>
      <c r="F182" s="4">
        <v>8</v>
      </c>
      <c r="G182" s="4">
        <v>35</v>
      </c>
      <c r="H182" s="5">
        <v>55.1</v>
      </c>
      <c r="J182" s="6" t="str">
        <f t="shared" si="7"/>
        <v>+8</v>
      </c>
      <c r="K182" s="6" t="str">
        <f t="shared" si="8"/>
        <v>+35</v>
      </c>
      <c r="L182" s="6" t="str">
        <f t="shared" si="9"/>
        <v>+55,1</v>
      </c>
      <c r="N182" s="2">
        <v>8</v>
      </c>
      <c r="O182" s="2">
        <v>35</v>
      </c>
      <c r="P182" s="2">
        <v>55.1</v>
      </c>
    </row>
    <row r="183" spans="1:16" x14ac:dyDescent="0.25">
      <c r="A183" s="3" t="s">
        <v>195</v>
      </c>
      <c r="B183" s="4">
        <v>1</v>
      </c>
      <c r="C183" s="4">
        <v>44</v>
      </c>
      <c r="D183" s="5">
        <v>23.41</v>
      </c>
      <c r="E183" s="5" t="s">
        <v>1</v>
      </c>
      <c r="F183" s="4">
        <v>8</v>
      </c>
      <c r="G183" s="4">
        <v>51</v>
      </c>
      <c r="H183" s="5">
        <v>9.8000000000000007</v>
      </c>
      <c r="J183" s="6" t="str">
        <f t="shared" si="7"/>
        <v>+8</v>
      </c>
      <c r="K183" s="6" t="str">
        <f t="shared" si="8"/>
        <v>+51</v>
      </c>
      <c r="L183" s="6" t="str">
        <f t="shared" si="9"/>
        <v>+9,8</v>
      </c>
      <c r="N183" s="2">
        <v>8</v>
      </c>
      <c r="O183" s="2">
        <v>51</v>
      </c>
      <c r="P183" s="2">
        <v>9.8000000000000007</v>
      </c>
    </row>
    <row r="184" spans="1:16" x14ac:dyDescent="0.25">
      <c r="A184" s="3" t="s">
        <v>196</v>
      </c>
      <c r="B184" s="4">
        <v>1</v>
      </c>
      <c r="C184" s="4">
        <v>47</v>
      </c>
      <c r="D184" s="5">
        <v>3.33</v>
      </c>
      <c r="E184" s="5" t="s">
        <v>1</v>
      </c>
      <c r="F184" s="4">
        <v>9</v>
      </c>
      <c r="G184" s="4">
        <v>6</v>
      </c>
      <c r="H184" s="5">
        <v>17.899999999999999</v>
      </c>
      <c r="J184" s="6" t="str">
        <f t="shared" si="7"/>
        <v>+9</v>
      </c>
      <c r="K184" s="6" t="str">
        <f t="shared" si="8"/>
        <v>+6</v>
      </c>
      <c r="L184" s="6" t="str">
        <f t="shared" si="9"/>
        <v>+17,9</v>
      </c>
      <c r="N184" s="2">
        <v>9</v>
      </c>
      <c r="O184" s="2">
        <v>6</v>
      </c>
      <c r="P184" s="2">
        <v>17.899999999999999</v>
      </c>
    </row>
    <row r="185" spans="1:16" x14ac:dyDescent="0.25">
      <c r="A185" s="3" t="s">
        <v>197</v>
      </c>
      <c r="B185" s="4">
        <v>1</v>
      </c>
      <c r="C185" s="4">
        <v>49</v>
      </c>
      <c r="D185" s="5">
        <v>43.11</v>
      </c>
      <c r="E185" s="5" t="s">
        <v>1</v>
      </c>
      <c r="F185" s="4">
        <v>9</v>
      </c>
      <c r="G185" s="4">
        <v>21</v>
      </c>
      <c r="H185" s="5">
        <v>19.399999999999999</v>
      </c>
      <c r="J185" s="6" t="str">
        <f t="shared" si="7"/>
        <v>+9</v>
      </c>
      <c r="K185" s="6" t="str">
        <f t="shared" si="8"/>
        <v>+21</v>
      </c>
      <c r="L185" s="6" t="str">
        <f t="shared" si="9"/>
        <v>+19,4</v>
      </c>
      <c r="N185" s="2">
        <v>9</v>
      </c>
      <c r="O185" s="2">
        <v>21</v>
      </c>
      <c r="P185" s="2">
        <v>19.399999999999999</v>
      </c>
    </row>
    <row r="186" spans="1:16" x14ac:dyDescent="0.25">
      <c r="A186" s="3" t="s">
        <v>198</v>
      </c>
      <c r="B186" s="4">
        <v>1</v>
      </c>
      <c r="C186" s="4">
        <v>52</v>
      </c>
      <c r="D186" s="5">
        <v>22.76</v>
      </c>
      <c r="E186" s="5" t="s">
        <v>1</v>
      </c>
      <c r="F186" s="4">
        <v>9</v>
      </c>
      <c r="G186" s="4">
        <v>36</v>
      </c>
      <c r="H186" s="5">
        <v>14.2</v>
      </c>
      <c r="J186" s="6" t="str">
        <f t="shared" si="7"/>
        <v>+9</v>
      </c>
      <c r="K186" s="6" t="str">
        <f t="shared" si="8"/>
        <v>+36</v>
      </c>
      <c r="L186" s="6" t="str">
        <f t="shared" si="9"/>
        <v>+14,2</v>
      </c>
      <c r="N186" s="2">
        <v>9</v>
      </c>
      <c r="O186" s="2">
        <v>36</v>
      </c>
      <c r="P186" s="2">
        <v>14.2</v>
      </c>
    </row>
    <row r="187" spans="1:16" x14ac:dyDescent="0.25">
      <c r="A187" s="3" t="s">
        <v>199</v>
      </c>
      <c r="B187" s="4">
        <v>1</v>
      </c>
      <c r="C187" s="4">
        <v>55</v>
      </c>
      <c r="D187" s="5">
        <v>2.27</v>
      </c>
      <c r="E187" s="5" t="s">
        <v>1</v>
      </c>
      <c r="F187" s="4">
        <v>9</v>
      </c>
      <c r="G187" s="4">
        <v>51</v>
      </c>
      <c r="H187" s="5">
        <v>2.1</v>
      </c>
      <c r="J187" s="6" t="str">
        <f t="shared" si="7"/>
        <v>+9</v>
      </c>
      <c r="K187" s="6" t="str">
        <f t="shared" si="8"/>
        <v>+51</v>
      </c>
      <c r="L187" s="6" t="str">
        <f t="shared" si="9"/>
        <v>+2,1</v>
      </c>
      <c r="N187" s="2">
        <v>9</v>
      </c>
      <c r="O187" s="2">
        <v>51</v>
      </c>
      <c r="P187" s="2">
        <v>2.1</v>
      </c>
    </row>
    <row r="188" spans="1:16" x14ac:dyDescent="0.25">
      <c r="A188" s="3" t="s">
        <v>200</v>
      </c>
      <c r="B188" s="4">
        <v>1</v>
      </c>
      <c r="C188" s="4">
        <v>57</v>
      </c>
      <c r="D188" s="5">
        <v>41.64</v>
      </c>
      <c r="E188" s="5" t="s">
        <v>1</v>
      </c>
      <c r="F188" s="4">
        <v>10</v>
      </c>
      <c r="G188" s="4">
        <v>5</v>
      </c>
      <c r="H188" s="5">
        <v>43.1</v>
      </c>
      <c r="J188" s="6" t="str">
        <f t="shared" si="7"/>
        <v>+10</v>
      </c>
      <c r="K188" s="6" t="str">
        <f t="shared" si="8"/>
        <v>+5</v>
      </c>
      <c r="L188" s="6" t="str">
        <f t="shared" si="9"/>
        <v>+43,1</v>
      </c>
      <c r="N188" s="2">
        <v>10</v>
      </c>
      <c r="O188" s="2">
        <v>5</v>
      </c>
      <c r="P188" s="2">
        <v>43.1</v>
      </c>
    </row>
    <row r="189" spans="1:16" x14ac:dyDescent="0.25">
      <c r="A189" s="3" t="s">
        <v>201</v>
      </c>
      <c r="B189" s="4">
        <v>2</v>
      </c>
      <c r="C189" s="4">
        <v>0</v>
      </c>
      <c r="D189" s="5">
        <v>20.88</v>
      </c>
      <c r="E189" s="5" t="s">
        <v>1</v>
      </c>
      <c r="F189" s="4">
        <v>10</v>
      </c>
      <c r="G189" s="4">
        <v>20</v>
      </c>
      <c r="H189" s="5">
        <v>17</v>
      </c>
      <c r="J189" s="6" t="str">
        <f t="shared" si="7"/>
        <v>+10</v>
      </c>
      <c r="K189" s="6" t="str">
        <f t="shared" si="8"/>
        <v>+20</v>
      </c>
      <c r="L189" s="6" t="str">
        <f t="shared" si="9"/>
        <v>+17</v>
      </c>
      <c r="N189" s="2">
        <v>10</v>
      </c>
      <c r="O189" s="2">
        <v>20</v>
      </c>
      <c r="P189" s="2">
        <v>17</v>
      </c>
    </row>
    <row r="190" spans="1:16" x14ac:dyDescent="0.25">
      <c r="A190" s="3" t="s">
        <v>202</v>
      </c>
      <c r="B190" s="4">
        <v>2</v>
      </c>
      <c r="C190" s="4">
        <v>2</v>
      </c>
      <c r="D190" s="5">
        <v>59.97</v>
      </c>
      <c r="E190" s="5" t="s">
        <v>1</v>
      </c>
      <c r="F190" s="4">
        <v>10</v>
      </c>
      <c r="G190" s="4">
        <v>34</v>
      </c>
      <c r="H190" s="5">
        <v>43.8</v>
      </c>
      <c r="J190" s="6" t="str">
        <f t="shared" si="7"/>
        <v>+10</v>
      </c>
      <c r="K190" s="6" t="str">
        <f t="shared" si="8"/>
        <v>+34</v>
      </c>
      <c r="L190" s="6" t="str">
        <f t="shared" si="9"/>
        <v>+43,8</v>
      </c>
      <c r="N190" s="2">
        <v>10</v>
      </c>
      <c r="O190" s="2">
        <v>34</v>
      </c>
      <c r="P190" s="2">
        <v>43.8</v>
      </c>
    </row>
    <row r="191" spans="1:16" x14ac:dyDescent="0.25">
      <c r="A191" s="3" t="s">
        <v>203</v>
      </c>
      <c r="B191" s="4">
        <v>2</v>
      </c>
      <c r="C191" s="4">
        <v>5</v>
      </c>
      <c r="D191" s="5">
        <v>38.92</v>
      </c>
      <c r="E191" s="5" t="s">
        <v>1</v>
      </c>
      <c r="F191" s="4">
        <v>10</v>
      </c>
      <c r="G191" s="4">
        <v>49</v>
      </c>
      <c r="H191" s="5">
        <v>3.3</v>
      </c>
      <c r="J191" s="6" t="str">
        <f t="shared" si="7"/>
        <v>+10</v>
      </c>
      <c r="K191" s="6" t="str">
        <f t="shared" si="8"/>
        <v>+49</v>
      </c>
      <c r="L191" s="6" t="str">
        <f t="shared" si="9"/>
        <v>+3,3</v>
      </c>
      <c r="N191" s="2">
        <v>10</v>
      </c>
      <c r="O191" s="2">
        <v>49</v>
      </c>
      <c r="P191" s="2">
        <v>3.3</v>
      </c>
    </row>
    <row r="192" spans="1:16" x14ac:dyDescent="0.25">
      <c r="A192" s="3" t="s">
        <v>204</v>
      </c>
      <c r="B192" s="4">
        <v>2</v>
      </c>
      <c r="C192" s="4">
        <v>8</v>
      </c>
      <c r="D192" s="5">
        <v>17.73</v>
      </c>
      <c r="E192" s="5" t="s">
        <v>1</v>
      </c>
      <c r="F192" s="4">
        <v>11</v>
      </c>
      <c r="G192" s="4">
        <v>3</v>
      </c>
      <c r="H192" s="5">
        <v>15.5</v>
      </c>
      <c r="J192" s="6" t="str">
        <f t="shared" si="7"/>
        <v>+11</v>
      </c>
      <c r="K192" s="6" t="str">
        <f t="shared" si="8"/>
        <v>+3</v>
      </c>
      <c r="L192" s="6" t="str">
        <f t="shared" si="9"/>
        <v>+15,5</v>
      </c>
      <c r="N192" s="2">
        <v>11</v>
      </c>
      <c r="O192" s="2">
        <v>3</v>
      </c>
      <c r="P192" s="2">
        <v>15.5</v>
      </c>
    </row>
    <row r="193" spans="1:16" x14ac:dyDescent="0.25">
      <c r="A193" s="3" t="s">
        <v>205</v>
      </c>
      <c r="B193" s="4">
        <v>2</v>
      </c>
      <c r="C193" s="4">
        <v>10</v>
      </c>
      <c r="D193" s="5">
        <v>56.39</v>
      </c>
      <c r="E193" s="5" t="s">
        <v>1</v>
      </c>
      <c r="F193" s="4">
        <v>11</v>
      </c>
      <c r="G193" s="4">
        <v>17</v>
      </c>
      <c r="H193" s="5">
        <v>20.2</v>
      </c>
      <c r="J193" s="6" t="str">
        <f t="shared" si="7"/>
        <v>+11</v>
      </c>
      <c r="K193" s="6" t="str">
        <f t="shared" si="8"/>
        <v>+17</v>
      </c>
      <c r="L193" s="6" t="str">
        <f t="shared" si="9"/>
        <v>+20,2</v>
      </c>
      <c r="N193" s="2">
        <v>11</v>
      </c>
      <c r="O193" s="2">
        <v>17</v>
      </c>
      <c r="P193" s="2">
        <v>20.2</v>
      </c>
    </row>
    <row r="194" spans="1:16" x14ac:dyDescent="0.25">
      <c r="A194" s="3" t="s">
        <v>206</v>
      </c>
      <c r="B194" s="4">
        <v>2</v>
      </c>
      <c r="C194" s="4">
        <v>13</v>
      </c>
      <c r="D194" s="5">
        <v>34.909999999999997</v>
      </c>
      <c r="E194" s="5" t="s">
        <v>1</v>
      </c>
      <c r="F194" s="4">
        <v>11</v>
      </c>
      <c r="G194" s="4">
        <v>31</v>
      </c>
      <c r="H194" s="5">
        <v>17.5</v>
      </c>
      <c r="J194" s="6" t="str">
        <f t="shared" ref="J194:J257" si="10">$E194&amp;F194</f>
        <v>+11</v>
      </c>
      <c r="K194" s="6" t="str">
        <f t="shared" ref="K194:K257" si="11">$E194&amp;G194</f>
        <v>+31</v>
      </c>
      <c r="L194" s="6" t="str">
        <f t="shared" ref="L194:L257" si="12">$E194&amp;H194</f>
        <v>+17,5</v>
      </c>
      <c r="N194" s="2">
        <v>11</v>
      </c>
      <c r="O194" s="2">
        <v>31</v>
      </c>
      <c r="P194" s="2">
        <v>17.5</v>
      </c>
    </row>
    <row r="195" spans="1:16" x14ac:dyDescent="0.25">
      <c r="A195" s="3" t="s">
        <v>207</v>
      </c>
      <c r="B195" s="4">
        <v>2</v>
      </c>
      <c r="C195" s="4">
        <v>16</v>
      </c>
      <c r="D195" s="5">
        <v>13.28</v>
      </c>
      <c r="E195" s="5" t="s">
        <v>1</v>
      </c>
      <c r="F195" s="4">
        <v>11</v>
      </c>
      <c r="G195" s="4">
        <v>45</v>
      </c>
      <c r="H195" s="5">
        <v>7.2</v>
      </c>
      <c r="J195" s="6" t="str">
        <f t="shared" si="10"/>
        <v>+11</v>
      </c>
      <c r="K195" s="6" t="str">
        <f t="shared" si="11"/>
        <v>+45</v>
      </c>
      <c r="L195" s="6" t="str">
        <f t="shared" si="12"/>
        <v>+7,2</v>
      </c>
      <c r="N195" s="2">
        <v>11</v>
      </c>
      <c r="O195" s="2">
        <v>45</v>
      </c>
      <c r="P195" s="2">
        <v>7.2</v>
      </c>
    </row>
    <row r="196" spans="1:16" x14ac:dyDescent="0.25">
      <c r="A196" s="3" t="s">
        <v>208</v>
      </c>
      <c r="B196" s="4">
        <v>2</v>
      </c>
      <c r="C196" s="4">
        <v>18</v>
      </c>
      <c r="D196" s="5">
        <v>51.49</v>
      </c>
      <c r="E196" s="5" t="s">
        <v>1</v>
      </c>
      <c r="F196" s="4">
        <v>11</v>
      </c>
      <c r="G196" s="4">
        <v>58</v>
      </c>
      <c r="H196" s="5">
        <v>49.2</v>
      </c>
      <c r="J196" s="6" t="str">
        <f t="shared" si="10"/>
        <v>+11</v>
      </c>
      <c r="K196" s="6" t="str">
        <f t="shared" si="11"/>
        <v>+58</v>
      </c>
      <c r="L196" s="6" t="str">
        <f t="shared" si="12"/>
        <v>+49,2</v>
      </c>
      <c r="N196" s="2">
        <v>11</v>
      </c>
      <c r="O196" s="2">
        <v>58</v>
      </c>
      <c r="P196" s="2">
        <v>49.2</v>
      </c>
    </row>
    <row r="197" spans="1:16" x14ac:dyDescent="0.25">
      <c r="A197" s="3" t="s">
        <v>209</v>
      </c>
      <c r="B197" s="4">
        <v>2</v>
      </c>
      <c r="C197" s="4">
        <v>21</v>
      </c>
      <c r="D197" s="5">
        <v>29.55</v>
      </c>
      <c r="E197" s="5" t="s">
        <v>1</v>
      </c>
      <c r="F197" s="4">
        <v>12</v>
      </c>
      <c r="G197" s="4">
        <v>12</v>
      </c>
      <c r="H197" s="5">
        <v>23.4</v>
      </c>
      <c r="J197" s="6" t="str">
        <f t="shared" si="10"/>
        <v>+12</v>
      </c>
      <c r="K197" s="6" t="str">
        <f t="shared" si="11"/>
        <v>+12</v>
      </c>
      <c r="L197" s="6" t="str">
        <f t="shared" si="12"/>
        <v>+23,4</v>
      </c>
      <c r="N197" s="2">
        <v>12</v>
      </c>
      <c r="O197" s="2">
        <v>12</v>
      </c>
      <c r="P197" s="2">
        <v>23.4</v>
      </c>
    </row>
    <row r="198" spans="1:16" x14ac:dyDescent="0.25">
      <c r="A198" s="3" t="s">
        <v>210</v>
      </c>
      <c r="B198" s="4">
        <v>2</v>
      </c>
      <c r="C198" s="4">
        <v>24</v>
      </c>
      <c r="D198" s="5">
        <v>7.44</v>
      </c>
      <c r="E198" s="5" t="s">
        <v>1</v>
      </c>
      <c r="F198" s="4">
        <v>12</v>
      </c>
      <c r="G198" s="4">
        <v>25</v>
      </c>
      <c r="H198" s="5">
        <v>49.8</v>
      </c>
      <c r="J198" s="6" t="str">
        <f t="shared" si="10"/>
        <v>+12</v>
      </c>
      <c r="K198" s="6" t="str">
        <f t="shared" si="11"/>
        <v>+25</v>
      </c>
      <c r="L198" s="6" t="str">
        <f t="shared" si="12"/>
        <v>+49,8</v>
      </c>
      <c r="N198" s="2">
        <v>12</v>
      </c>
      <c r="O198" s="2">
        <v>25</v>
      </c>
      <c r="P198" s="2">
        <v>49.8</v>
      </c>
    </row>
    <row r="199" spans="1:16" x14ac:dyDescent="0.25">
      <c r="A199" s="3" t="s">
        <v>211</v>
      </c>
      <c r="B199" s="4">
        <v>2</v>
      </c>
      <c r="C199" s="4">
        <v>26</v>
      </c>
      <c r="D199" s="5">
        <v>45.15</v>
      </c>
      <c r="E199" s="5" t="s">
        <v>1</v>
      </c>
      <c r="F199" s="4">
        <v>12</v>
      </c>
      <c r="G199" s="4">
        <v>39</v>
      </c>
      <c r="H199" s="5">
        <v>8.1</v>
      </c>
      <c r="J199" s="6" t="str">
        <f t="shared" si="10"/>
        <v>+12</v>
      </c>
      <c r="K199" s="6" t="str">
        <f t="shared" si="11"/>
        <v>+39</v>
      </c>
      <c r="L199" s="6" t="str">
        <f t="shared" si="12"/>
        <v>+8,1</v>
      </c>
      <c r="N199" s="2">
        <v>12</v>
      </c>
      <c r="O199" s="2">
        <v>39</v>
      </c>
      <c r="P199" s="2">
        <v>8.1</v>
      </c>
    </row>
    <row r="200" spans="1:16" x14ac:dyDescent="0.25">
      <c r="A200" s="3" t="s">
        <v>212</v>
      </c>
      <c r="B200" s="4">
        <v>2</v>
      </c>
      <c r="C200" s="4">
        <v>29</v>
      </c>
      <c r="D200" s="5">
        <v>22.68</v>
      </c>
      <c r="E200" s="5" t="s">
        <v>1</v>
      </c>
      <c r="F200" s="4">
        <v>12</v>
      </c>
      <c r="G200" s="4">
        <v>52</v>
      </c>
      <c r="H200" s="5">
        <v>18.399999999999999</v>
      </c>
      <c r="J200" s="6" t="str">
        <f t="shared" si="10"/>
        <v>+12</v>
      </c>
      <c r="K200" s="6" t="str">
        <f t="shared" si="11"/>
        <v>+52</v>
      </c>
      <c r="L200" s="6" t="str">
        <f t="shared" si="12"/>
        <v>+18,4</v>
      </c>
      <c r="N200" s="2">
        <v>12</v>
      </c>
      <c r="O200" s="2">
        <v>52</v>
      </c>
      <c r="P200" s="2">
        <v>18.399999999999999</v>
      </c>
    </row>
    <row r="201" spans="1:16" x14ac:dyDescent="0.25">
      <c r="A201" s="3" t="s">
        <v>213</v>
      </c>
      <c r="B201" s="4">
        <v>2</v>
      </c>
      <c r="C201" s="4">
        <v>32</v>
      </c>
      <c r="D201" s="5">
        <v>0</v>
      </c>
      <c r="E201" s="5" t="s">
        <v>1</v>
      </c>
      <c r="F201" s="4">
        <v>13</v>
      </c>
      <c r="G201" s="4">
        <v>5</v>
      </c>
      <c r="H201" s="5">
        <v>20.399999999999999</v>
      </c>
      <c r="J201" s="6" t="str">
        <f t="shared" si="10"/>
        <v>+13</v>
      </c>
      <c r="K201" s="6" t="str">
        <f t="shared" si="11"/>
        <v>+5</v>
      </c>
      <c r="L201" s="6" t="str">
        <f t="shared" si="12"/>
        <v>+20,4</v>
      </c>
      <c r="N201" s="2">
        <v>13</v>
      </c>
      <c r="O201" s="2">
        <v>5</v>
      </c>
      <c r="P201" s="2">
        <v>20.399999999999999</v>
      </c>
    </row>
    <row r="202" spans="1:16" x14ac:dyDescent="0.25">
      <c r="A202" s="3" t="s">
        <v>214</v>
      </c>
      <c r="B202" s="4">
        <v>2</v>
      </c>
      <c r="C202" s="4">
        <v>34</v>
      </c>
      <c r="D202" s="5">
        <v>37.119999999999997</v>
      </c>
      <c r="E202" s="5" t="s">
        <v>1</v>
      </c>
      <c r="F202" s="4">
        <v>13</v>
      </c>
      <c r="G202" s="4">
        <v>18</v>
      </c>
      <c r="H202" s="5">
        <v>14.1</v>
      </c>
      <c r="J202" s="6" t="str">
        <f t="shared" si="10"/>
        <v>+13</v>
      </c>
      <c r="K202" s="6" t="str">
        <f t="shared" si="11"/>
        <v>+18</v>
      </c>
      <c r="L202" s="6" t="str">
        <f t="shared" si="12"/>
        <v>+14,1</v>
      </c>
      <c r="N202" s="2">
        <v>13</v>
      </c>
      <c r="O202" s="2">
        <v>18</v>
      </c>
      <c r="P202" s="2">
        <v>14.1</v>
      </c>
    </row>
    <row r="203" spans="1:16" x14ac:dyDescent="0.25">
      <c r="A203" s="3" t="s">
        <v>215</v>
      </c>
      <c r="B203" s="4">
        <v>2</v>
      </c>
      <c r="C203" s="4">
        <v>37</v>
      </c>
      <c r="D203" s="5">
        <v>14.02</v>
      </c>
      <c r="E203" s="5" t="s">
        <v>1</v>
      </c>
      <c r="F203" s="4">
        <v>13</v>
      </c>
      <c r="G203" s="4">
        <v>30</v>
      </c>
      <c r="H203" s="5">
        <v>59.4</v>
      </c>
      <c r="J203" s="6" t="str">
        <f t="shared" si="10"/>
        <v>+13</v>
      </c>
      <c r="K203" s="6" t="str">
        <f t="shared" si="11"/>
        <v>+30</v>
      </c>
      <c r="L203" s="6" t="str">
        <f t="shared" si="12"/>
        <v>+59,4</v>
      </c>
      <c r="N203" s="2">
        <v>13</v>
      </c>
      <c r="O203" s="2">
        <v>30</v>
      </c>
      <c r="P203" s="2">
        <v>59.4</v>
      </c>
    </row>
    <row r="204" spans="1:16" x14ac:dyDescent="0.25">
      <c r="A204" s="3" t="s">
        <v>216</v>
      </c>
      <c r="B204" s="4">
        <v>2</v>
      </c>
      <c r="C204" s="4">
        <v>39</v>
      </c>
      <c r="D204" s="5">
        <v>50.69</v>
      </c>
      <c r="E204" s="5" t="s">
        <v>1</v>
      </c>
      <c r="F204" s="4">
        <v>13</v>
      </c>
      <c r="G204" s="4">
        <v>43</v>
      </c>
      <c r="H204" s="5">
        <v>36.1</v>
      </c>
      <c r="J204" s="6" t="str">
        <f t="shared" si="10"/>
        <v>+13</v>
      </c>
      <c r="K204" s="6" t="str">
        <f t="shared" si="11"/>
        <v>+43</v>
      </c>
      <c r="L204" s="6" t="str">
        <f t="shared" si="12"/>
        <v>+36,1</v>
      </c>
      <c r="N204" s="2">
        <v>13</v>
      </c>
      <c r="O204" s="2">
        <v>43</v>
      </c>
      <c r="P204" s="2">
        <v>36.1</v>
      </c>
    </row>
    <row r="205" spans="1:16" x14ac:dyDescent="0.25">
      <c r="A205" s="3" t="s">
        <v>217</v>
      </c>
      <c r="B205" s="4">
        <v>2</v>
      </c>
      <c r="C205" s="4">
        <v>42</v>
      </c>
      <c r="D205" s="5">
        <v>27.11</v>
      </c>
      <c r="E205" s="5" t="s">
        <v>1</v>
      </c>
      <c r="F205" s="4">
        <v>13</v>
      </c>
      <c r="G205" s="4">
        <v>56</v>
      </c>
      <c r="H205" s="5">
        <v>4.3</v>
      </c>
      <c r="J205" s="6" t="str">
        <f t="shared" si="10"/>
        <v>+13</v>
      </c>
      <c r="K205" s="6" t="str">
        <f t="shared" si="11"/>
        <v>+56</v>
      </c>
      <c r="L205" s="6" t="str">
        <f t="shared" si="12"/>
        <v>+4,3</v>
      </c>
      <c r="N205" s="2">
        <v>13</v>
      </c>
      <c r="O205" s="2">
        <v>56</v>
      </c>
      <c r="P205" s="2">
        <v>4.3</v>
      </c>
    </row>
    <row r="206" spans="1:16" x14ac:dyDescent="0.25">
      <c r="A206" s="3" t="s">
        <v>218</v>
      </c>
      <c r="B206" s="4">
        <v>2</v>
      </c>
      <c r="C206" s="4">
        <v>45</v>
      </c>
      <c r="D206" s="5">
        <v>3.27</v>
      </c>
      <c r="E206" s="5" t="s">
        <v>1</v>
      </c>
      <c r="F206" s="4">
        <v>14</v>
      </c>
      <c r="G206" s="4">
        <v>8</v>
      </c>
      <c r="H206" s="5">
        <v>23.7</v>
      </c>
      <c r="J206" s="6" t="str">
        <f t="shared" si="10"/>
        <v>+14</v>
      </c>
      <c r="K206" s="6" t="str">
        <f t="shared" si="11"/>
        <v>+8</v>
      </c>
      <c r="L206" s="6" t="str">
        <f t="shared" si="12"/>
        <v>+23,7</v>
      </c>
      <c r="N206" s="2">
        <v>14</v>
      </c>
      <c r="O206" s="2">
        <v>8</v>
      </c>
      <c r="P206" s="2">
        <v>23.7</v>
      </c>
    </row>
    <row r="207" spans="1:16" x14ac:dyDescent="0.25">
      <c r="A207" s="3" t="s">
        <v>219</v>
      </c>
      <c r="B207" s="4">
        <v>2</v>
      </c>
      <c r="C207" s="4">
        <v>47</v>
      </c>
      <c r="D207" s="5">
        <v>39.159999999999997</v>
      </c>
      <c r="E207" s="5" t="s">
        <v>1</v>
      </c>
      <c r="F207" s="4">
        <v>14</v>
      </c>
      <c r="G207" s="4">
        <v>20</v>
      </c>
      <c r="H207" s="5">
        <v>34.299999999999997</v>
      </c>
      <c r="J207" s="6" t="str">
        <f t="shared" si="10"/>
        <v>+14</v>
      </c>
      <c r="K207" s="6" t="str">
        <f t="shared" si="11"/>
        <v>+20</v>
      </c>
      <c r="L207" s="6" t="str">
        <f t="shared" si="12"/>
        <v>+34,3</v>
      </c>
      <c r="N207" s="2">
        <v>14</v>
      </c>
      <c r="O207" s="2">
        <v>20</v>
      </c>
      <c r="P207" s="2">
        <v>34.299999999999997</v>
      </c>
    </row>
    <row r="208" spans="1:16" x14ac:dyDescent="0.25">
      <c r="A208" s="3" t="s">
        <v>220</v>
      </c>
      <c r="B208" s="4">
        <v>2</v>
      </c>
      <c r="C208" s="4">
        <v>50</v>
      </c>
      <c r="D208" s="5">
        <v>14.77</v>
      </c>
      <c r="E208" s="5" t="s">
        <v>1</v>
      </c>
      <c r="F208" s="4">
        <v>14</v>
      </c>
      <c r="G208" s="4">
        <v>32</v>
      </c>
      <c r="H208" s="5">
        <v>36</v>
      </c>
      <c r="J208" s="6" t="str">
        <f t="shared" si="10"/>
        <v>+14</v>
      </c>
      <c r="K208" s="6" t="str">
        <f t="shared" si="11"/>
        <v>+32</v>
      </c>
      <c r="L208" s="6" t="str">
        <f t="shared" si="12"/>
        <v>+36</v>
      </c>
      <c r="N208" s="2">
        <v>14</v>
      </c>
      <c r="O208" s="2">
        <v>32</v>
      </c>
      <c r="P208" s="2">
        <v>36</v>
      </c>
    </row>
    <row r="209" spans="1:16" x14ac:dyDescent="0.25">
      <c r="A209" s="3" t="s">
        <v>221</v>
      </c>
      <c r="B209" s="4">
        <v>2</v>
      </c>
      <c r="C209" s="4">
        <v>52</v>
      </c>
      <c r="D209" s="5">
        <v>50.08</v>
      </c>
      <c r="E209" s="5" t="s">
        <v>1</v>
      </c>
      <c r="F209" s="4">
        <v>14</v>
      </c>
      <c r="G209" s="4">
        <v>44</v>
      </c>
      <c r="H209" s="5">
        <v>28.8</v>
      </c>
      <c r="J209" s="6" t="str">
        <f t="shared" si="10"/>
        <v>+14</v>
      </c>
      <c r="K209" s="6" t="str">
        <f t="shared" si="11"/>
        <v>+44</v>
      </c>
      <c r="L209" s="6" t="str">
        <f t="shared" si="12"/>
        <v>+28,8</v>
      </c>
      <c r="N209" s="2">
        <v>14</v>
      </c>
      <c r="O209" s="2">
        <v>44</v>
      </c>
      <c r="P209" s="2">
        <v>28.8</v>
      </c>
    </row>
    <row r="210" spans="1:16" x14ac:dyDescent="0.25">
      <c r="A210" s="3" t="s">
        <v>222</v>
      </c>
      <c r="B210" s="4">
        <v>2</v>
      </c>
      <c r="C210" s="4">
        <v>55</v>
      </c>
      <c r="D210" s="5">
        <v>25.08</v>
      </c>
      <c r="E210" s="5" t="s">
        <v>1</v>
      </c>
      <c r="F210" s="4">
        <v>14</v>
      </c>
      <c r="G210" s="4">
        <v>56</v>
      </c>
      <c r="H210" s="5">
        <v>12.6</v>
      </c>
      <c r="J210" s="6" t="str">
        <f t="shared" si="10"/>
        <v>+14</v>
      </c>
      <c r="K210" s="6" t="str">
        <f t="shared" si="11"/>
        <v>+56</v>
      </c>
      <c r="L210" s="6" t="str">
        <f t="shared" si="12"/>
        <v>+12,6</v>
      </c>
      <c r="N210" s="2">
        <v>14</v>
      </c>
      <c r="O210" s="2">
        <v>56</v>
      </c>
      <c r="P210" s="2">
        <v>12.6</v>
      </c>
    </row>
    <row r="211" spans="1:16" x14ac:dyDescent="0.25">
      <c r="A211" s="3" t="s">
        <v>223</v>
      </c>
      <c r="B211" s="4">
        <v>2</v>
      </c>
      <c r="C211" s="4">
        <v>57</v>
      </c>
      <c r="D211" s="5">
        <v>59.76</v>
      </c>
      <c r="E211" s="5" t="s">
        <v>1</v>
      </c>
      <c r="F211" s="4">
        <v>15</v>
      </c>
      <c r="G211" s="4">
        <v>7</v>
      </c>
      <c r="H211" s="5">
        <v>47.3</v>
      </c>
      <c r="J211" s="6" t="str">
        <f t="shared" si="10"/>
        <v>+15</v>
      </c>
      <c r="K211" s="6" t="str">
        <f t="shared" si="11"/>
        <v>+7</v>
      </c>
      <c r="L211" s="6" t="str">
        <f t="shared" si="12"/>
        <v>+47,3</v>
      </c>
      <c r="N211" s="2">
        <v>15</v>
      </c>
      <c r="O211" s="2">
        <v>7</v>
      </c>
      <c r="P211" s="2">
        <v>47.3</v>
      </c>
    </row>
    <row r="212" spans="1:16" x14ac:dyDescent="0.25">
      <c r="A212" s="3" t="s">
        <v>224</v>
      </c>
      <c r="B212" s="4">
        <v>3</v>
      </c>
      <c r="C212" s="4">
        <v>0</v>
      </c>
      <c r="D212" s="5">
        <v>34.11</v>
      </c>
      <c r="E212" s="5" t="s">
        <v>1</v>
      </c>
      <c r="F212" s="4">
        <v>15</v>
      </c>
      <c r="G212" s="4">
        <v>19</v>
      </c>
      <c r="H212" s="5">
        <v>12.9</v>
      </c>
      <c r="J212" s="6" t="str">
        <f t="shared" si="10"/>
        <v>+15</v>
      </c>
      <c r="K212" s="6" t="str">
        <f t="shared" si="11"/>
        <v>+19</v>
      </c>
      <c r="L212" s="6" t="str">
        <f t="shared" si="12"/>
        <v>+12,9</v>
      </c>
      <c r="N212" s="2">
        <v>15</v>
      </c>
      <c r="O212" s="2">
        <v>19</v>
      </c>
      <c r="P212" s="2">
        <v>12.9</v>
      </c>
    </row>
    <row r="213" spans="1:16" x14ac:dyDescent="0.25">
      <c r="A213" s="3" t="s">
        <v>225</v>
      </c>
      <c r="B213" s="4">
        <v>3</v>
      </c>
      <c r="C213" s="4">
        <v>3</v>
      </c>
      <c r="D213" s="5">
        <v>8.1</v>
      </c>
      <c r="E213" s="5" t="s">
        <v>1</v>
      </c>
      <c r="F213" s="4">
        <v>15</v>
      </c>
      <c r="G213" s="4">
        <v>30</v>
      </c>
      <c r="H213" s="5">
        <v>29.3</v>
      </c>
      <c r="J213" s="6" t="str">
        <f t="shared" si="10"/>
        <v>+15</v>
      </c>
      <c r="K213" s="6" t="str">
        <f t="shared" si="11"/>
        <v>+30</v>
      </c>
      <c r="L213" s="6" t="str">
        <f t="shared" si="12"/>
        <v>+29,3</v>
      </c>
      <c r="N213" s="2">
        <v>15</v>
      </c>
      <c r="O213" s="2">
        <v>30</v>
      </c>
      <c r="P213" s="2">
        <v>29.3</v>
      </c>
    </row>
    <row r="214" spans="1:16" x14ac:dyDescent="0.25">
      <c r="A214" s="3" t="s">
        <v>226</v>
      </c>
      <c r="B214" s="4">
        <v>3</v>
      </c>
      <c r="C214" s="4">
        <v>5</v>
      </c>
      <c r="D214" s="5">
        <v>41.74</v>
      </c>
      <c r="E214" s="5" t="s">
        <v>1</v>
      </c>
      <c r="F214" s="4">
        <v>15</v>
      </c>
      <c r="G214" s="4">
        <v>41</v>
      </c>
      <c r="H214" s="5">
        <v>36.5</v>
      </c>
      <c r="J214" s="6" t="str">
        <f t="shared" si="10"/>
        <v>+15</v>
      </c>
      <c r="K214" s="6" t="str">
        <f t="shared" si="11"/>
        <v>+41</v>
      </c>
      <c r="L214" s="6" t="str">
        <f t="shared" si="12"/>
        <v>+36,5</v>
      </c>
      <c r="N214" s="2">
        <v>15</v>
      </c>
      <c r="O214" s="2">
        <v>41</v>
      </c>
      <c r="P214" s="2">
        <v>36.5</v>
      </c>
    </row>
    <row r="215" spans="1:16" x14ac:dyDescent="0.25">
      <c r="A215" s="3" t="s">
        <v>227</v>
      </c>
      <c r="B215" s="4">
        <v>3</v>
      </c>
      <c r="C215" s="4">
        <v>8</v>
      </c>
      <c r="D215" s="5">
        <v>15</v>
      </c>
      <c r="E215" s="5" t="s">
        <v>1</v>
      </c>
      <c r="F215" s="4">
        <v>15</v>
      </c>
      <c r="G215" s="4">
        <v>52</v>
      </c>
      <c r="H215" s="5">
        <v>34.5</v>
      </c>
      <c r="J215" s="6" t="str">
        <f t="shared" si="10"/>
        <v>+15</v>
      </c>
      <c r="K215" s="6" t="str">
        <f t="shared" si="11"/>
        <v>+52</v>
      </c>
      <c r="L215" s="6" t="str">
        <f t="shared" si="12"/>
        <v>+34,5</v>
      </c>
      <c r="N215" s="2">
        <v>15</v>
      </c>
      <c r="O215" s="2">
        <v>52</v>
      </c>
      <c r="P215" s="2">
        <v>34.5</v>
      </c>
    </row>
    <row r="216" spans="1:16" x14ac:dyDescent="0.25">
      <c r="A216" s="3" t="s">
        <v>228</v>
      </c>
      <c r="B216" s="4">
        <v>3</v>
      </c>
      <c r="C216" s="4">
        <v>10</v>
      </c>
      <c r="D216" s="5">
        <v>47.88</v>
      </c>
      <c r="E216" s="5" t="s">
        <v>1</v>
      </c>
      <c r="F216" s="4">
        <v>16</v>
      </c>
      <c r="G216" s="4">
        <v>3</v>
      </c>
      <c r="H216" s="5">
        <v>23.2</v>
      </c>
      <c r="J216" s="6" t="str">
        <f t="shared" si="10"/>
        <v>+16</v>
      </c>
      <c r="K216" s="6" t="str">
        <f t="shared" si="11"/>
        <v>+3</v>
      </c>
      <c r="L216" s="6" t="str">
        <f t="shared" si="12"/>
        <v>+23,2</v>
      </c>
      <c r="N216" s="2">
        <v>16</v>
      </c>
      <c r="O216" s="2">
        <v>3</v>
      </c>
      <c r="P216" s="2">
        <v>23.2</v>
      </c>
    </row>
    <row r="217" spans="1:16" x14ac:dyDescent="0.25">
      <c r="A217" s="3" t="s">
        <v>229</v>
      </c>
      <c r="B217" s="4">
        <v>3</v>
      </c>
      <c r="C217" s="4">
        <v>13</v>
      </c>
      <c r="D217" s="5">
        <v>20.36</v>
      </c>
      <c r="E217" s="5" t="s">
        <v>1</v>
      </c>
      <c r="F217" s="4">
        <v>16</v>
      </c>
      <c r="G217" s="4">
        <v>14</v>
      </c>
      <c r="H217" s="5">
        <v>2.6</v>
      </c>
      <c r="J217" s="6" t="str">
        <f t="shared" si="10"/>
        <v>+16</v>
      </c>
      <c r="K217" s="6" t="str">
        <f t="shared" si="11"/>
        <v>+14</v>
      </c>
      <c r="L217" s="6" t="str">
        <f t="shared" si="12"/>
        <v>+2,6</v>
      </c>
      <c r="N217" s="2">
        <v>16</v>
      </c>
      <c r="O217" s="2">
        <v>14</v>
      </c>
      <c r="P217" s="2">
        <v>2.6</v>
      </c>
    </row>
    <row r="218" spans="1:16" x14ac:dyDescent="0.25">
      <c r="A218" s="3" t="s">
        <v>230</v>
      </c>
      <c r="B218" s="4">
        <v>3</v>
      </c>
      <c r="C218" s="4">
        <v>15</v>
      </c>
      <c r="D218" s="5">
        <v>52.43</v>
      </c>
      <c r="E218" s="5" t="s">
        <v>1</v>
      </c>
      <c r="F218" s="4">
        <v>16</v>
      </c>
      <c r="G218" s="4">
        <v>24</v>
      </c>
      <c r="H218" s="5">
        <v>32.700000000000003</v>
      </c>
      <c r="J218" s="6" t="str">
        <f t="shared" si="10"/>
        <v>+16</v>
      </c>
      <c r="K218" s="6" t="str">
        <f t="shared" si="11"/>
        <v>+24</v>
      </c>
      <c r="L218" s="6" t="str">
        <f t="shared" si="12"/>
        <v>+32,7</v>
      </c>
      <c r="N218" s="2">
        <v>16</v>
      </c>
      <c r="O218" s="2">
        <v>24</v>
      </c>
      <c r="P218" s="2">
        <v>32.700000000000003</v>
      </c>
    </row>
    <row r="219" spans="1:16" x14ac:dyDescent="0.25">
      <c r="A219" s="3" t="s">
        <v>231</v>
      </c>
      <c r="B219" s="4">
        <v>3</v>
      </c>
      <c r="C219" s="4">
        <v>18</v>
      </c>
      <c r="D219" s="5">
        <v>24.08</v>
      </c>
      <c r="E219" s="5" t="s">
        <v>1</v>
      </c>
      <c r="F219" s="4">
        <v>16</v>
      </c>
      <c r="G219" s="4">
        <v>34</v>
      </c>
      <c r="H219" s="5">
        <v>53.6</v>
      </c>
      <c r="J219" s="6" t="str">
        <f t="shared" si="10"/>
        <v>+16</v>
      </c>
      <c r="K219" s="6" t="str">
        <f t="shared" si="11"/>
        <v>+34</v>
      </c>
      <c r="L219" s="6" t="str">
        <f t="shared" si="12"/>
        <v>+53,6</v>
      </c>
      <c r="N219" s="2">
        <v>16</v>
      </c>
      <c r="O219" s="2">
        <v>34</v>
      </c>
      <c r="P219" s="2">
        <v>53.6</v>
      </c>
    </row>
    <row r="220" spans="1:16" x14ac:dyDescent="0.25">
      <c r="A220" s="3" t="s">
        <v>232</v>
      </c>
      <c r="B220" s="4">
        <v>3</v>
      </c>
      <c r="C220" s="4">
        <v>20</v>
      </c>
      <c r="D220" s="5">
        <v>55.3</v>
      </c>
      <c r="E220" s="5" t="s">
        <v>1</v>
      </c>
      <c r="F220" s="4">
        <v>16</v>
      </c>
      <c r="G220" s="4">
        <v>45</v>
      </c>
      <c r="H220" s="5">
        <v>5.0999999999999996</v>
      </c>
      <c r="J220" s="6" t="str">
        <f t="shared" si="10"/>
        <v>+16</v>
      </c>
      <c r="K220" s="6" t="str">
        <f t="shared" si="11"/>
        <v>+45</v>
      </c>
      <c r="L220" s="6" t="str">
        <f t="shared" si="12"/>
        <v>+5,1</v>
      </c>
      <c r="N220" s="2">
        <v>16</v>
      </c>
      <c r="O220" s="2">
        <v>45</v>
      </c>
      <c r="P220" s="2">
        <v>5.0999999999999996</v>
      </c>
    </row>
    <row r="221" spans="1:16" x14ac:dyDescent="0.25">
      <c r="A221" s="3" t="s">
        <v>233</v>
      </c>
      <c r="B221" s="4">
        <v>3</v>
      </c>
      <c r="C221" s="4">
        <v>23</v>
      </c>
      <c r="D221" s="5">
        <v>26.08</v>
      </c>
      <c r="E221" s="5" t="s">
        <v>1</v>
      </c>
      <c r="F221" s="4">
        <v>16</v>
      </c>
      <c r="G221" s="4">
        <v>55</v>
      </c>
      <c r="H221" s="5">
        <v>7.4</v>
      </c>
      <c r="J221" s="6" t="str">
        <f t="shared" si="10"/>
        <v>+16</v>
      </c>
      <c r="K221" s="6" t="str">
        <f t="shared" si="11"/>
        <v>+55</v>
      </c>
      <c r="L221" s="6" t="str">
        <f t="shared" si="12"/>
        <v>+7,4</v>
      </c>
      <c r="N221" s="2">
        <v>16</v>
      </c>
      <c r="O221" s="2">
        <v>55</v>
      </c>
      <c r="P221" s="2">
        <v>7.4</v>
      </c>
    </row>
    <row r="222" spans="1:16" x14ac:dyDescent="0.25">
      <c r="A222" s="3" t="s">
        <v>234</v>
      </c>
      <c r="B222" s="4">
        <v>3</v>
      </c>
      <c r="C222" s="4">
        <v>25</v>
      </c>
      <c r="D222" s="5">
        <v>56.4</v>
      </c>
      <c r="E222" s="5" t="s">
        <v>1</v>
      </c>
      <c r="F222" s="4">
        <v>17</v>
      </c>
      <c r="G222" s="4">
        <v>5</v>
      </c>
      <c r="H222" s="5">
        <v>0.4</v>
      </c>
      <c r="J222" s="6" t="str">
        <f t="shared" si="10"/>
        <v>+17</v>
      </c>
      <c r="K222" s="6" t="str">
        <f t="shared" si="11"/>
        <v>+5</v>
      </c>
      <c r="L222" s="6" t="str">
        <f t="shared" si="12"/>
        <v>+0,4</v>
      </c>
      <c r="N222" s="2">
        <v>17</v>
      </c>
      <c r="O222" s="2">
        <v>5</v>
      </c>
      <c r="P222" s="2">
        <v>0.4</v>
      </c>
    </row>
    <row r="223" spans="1:16" x14ac:dyDescent="0.25">
      <c r="A223" s="3" t="s">
        <v>235</v>
      </c>
      <c r="B223" s="4">
        <v>3</v>
      </c>
      <c r="C223" s="4">
        <v>28</v>
      </c>
      <c r="D223" s="5">
        <v>26.26</v>
      </c>
      <c r="E223" s="5" t="s">
        <v>1</v>
      </c>
      <c r="F223" s="4">
        <v>17</v>
      </c>
      <c r="G223" s="4">
        <v>14</v>
      </c>
      <c r="H223" s="5">
        <v>44.1</v>
      </c>
      <c r="J223" s="6" t="str">
        <f t="shared" si="10"/>
        <v>+17</v>
      </c>
      <c r="K223" s="6" t="str">
        <f t="shared" si="11"/>
        <v>+14</v>
      </c>
      <c r="L223" s="6" t="str">
        <f t="shared" si="12"/>
        <v>+44,1</v>
      </c>
      <c r="N223" s="2">
        <v>17</v>
      </c>
      <c r="O223" s="2">
        <v>14</v>
      </c>
      <c r="P223" s="2">
        <v>44.1</v>
      </c>
    </row>
    <row r="224" spans="1:16" x14ac:dyDescent="0.25">
      <c r="A224" s="3" t="s">
        <v>236</v>
      </c>
      <c r="B224" s="4">
        <v>3</v>
      </c>
      <c r="C224" s="4">
        <v>30</v>
      </c>
      <c r="D224" s="5">
        <v>55.63</v>
      </c>
      <c r="E224" s="5" t="s">
        <v>1</v>
      </c>
      <c r="F224" s="4">
        <v>17</v>
      </c>
      <c r="G224" s="4">
        <v>24</v>
      </c>
      <c r="H224" s="5">
        <v>18.600000000000001</v>
      </c>
      <c r="J224" s="6" t="str">
        <f t="shared" si="10"/>
        <v>+17</v>
      </c>
      <c r="K224" s="6" t="str">
        <f t="shared" si="11"/>
        <v>+24</v>
      </c>
      <c r="L224" s="6" t="str">
        <f t="shared" si="12"/>
        <v>+18,6</v>
      </c>
      <c r="N224" s="2">
        <v>17</v>
      </c>
      <c r="O224" s="2">
        <v>24</v>
      </c>
      <c r="P224" s="2">
        <v>18.600000000000001</v>
      </c>
    </row>
    <row r="225" spans="1:16" x14ac:dyDescent="0.25">
      <c r="A225" s="3" t="s">
        <v>237</v>
      </c>
      <c r="B225" s="4">
        <v>3</v>
      </c>
      <c r="C225" s="4">
        <v>33</v>
      </c>
      <c r="D225" s="5">
        <v>24.51</v>
      </c>
      <c r="E225" s="5" t="s">
        <v>1</v>
      </c>
      <c r="F225" s="4">
        <v>17</v>
      </c>
      <c r="G225" s="4">
        <v>33</v>
      </c>
      <c r="H225" s="5">
        <v>43.8</v>
      </c>
      <c r="J225" s="6" t="str">
        <f t="shared" si="10"/>
        <v>+17</v>
      </c>
      <c r="K225" s="6" t="str">
        <f t="shared" si="11"/>
        <v>+33</v>
      </c>
      <c r="L225" s="6" t="str">
        <f t="shared" si="12"/>
        <v>+43,8</v>
      </c>
      <c r="N225" s="2">
        <v>17</v>
      </c>
      <c r="O225" s="2">
        <v>33</v>
      </c>
      <c r="P225" s="2">
        <v>43.8</v>
      </c>
    </row>
    <row r="226" spans="1:16" x14ac:dyDescent="0.25">
      <c r="A226" s="3" t="s">
        <v>238</v>
      </c>
      <c r="B226" s="4">
        <v>3</v>
      </c>
      <c r="C226" s="4">
        <v>35</v>
      </c>
      <c r="D226" s="5">
        <v>52.86</v>
      </c>
      <c r="E226" s="5" t="s">
        <v>1</v>
      </c>
      <c r="F226" s="4">
        <v>17</v>
      </c>
      <c r="G226" s="4">
        <v>42</v>
      </c>
      <c r="H226" s="5">
        <v>59.8</v>
      </c>
      <c r="J226" s="6" t="str">
        <f t="shared" si="10"/>
        <v>+17</v>
      </c>
      <c r="K226" s="6" t="str">
        <f t="shared" si="11"/>
        <v>+42</v>
      </c>
      <c r="L226" s="6" t="str">
        <f t="shared" si="12"/>
        <v>+59,8</v>
      </c>
      <c r="N226" s="2">
        <v>17</v>
      </c>
      <c r="O226" s="2">
        <v>42</v>
      </c>
      <c r="P226" s="2">
        <v>59.8</v>
      </c>
    </row>
    <row r="227" spans="1:16" x14ac:dyDescent="0.25">
      <c r="A227" s="3" t="s">
        <v>239</v>
      </c>
      <c r="B227" s="4">
        <v>3</v>
      </c>
      <c r="C227" s="4">
        <v>38</v>
      </c>
      <c r="D227" s="5">
        <v>20.69</v>
      </c>
      <c r="E227" s="5" t="s">
        <v>1</v>
      </c>
      <c r="F227" s="4">
        <v>17</v>
      </c>
      <c r="G227" s="4">
        <v>52</v>
      </c>
      <c r="H227" s="5">
        <v>6.5</v>
      </c>
      <c r="J227" s="6" t="str">
        <f t="shared" si="10"/>
        <v>+17</v>
      </c>
      <c r="K227" s="6" t="str">
        <f t="shared" si="11"/>
        <v>+52</v>
      </c>
      <c r="L227" s="6" t="str">
        <f t="shared" si="12"/>
        <v>+6,5</v>
      </c>
      <c r="N227" s="2">
        <v>17</v>
      </c>
      <c r="O227" s="2">
        <v>52</v>
      </c>
      <c r="P227" s="2">
        <v>6.5</v>
      </c>
    </row>
    <row r="228" spans="1:16" x14ac:dyDescent="0.25">
      <c r="A228" s="3" t="s">
        <v>240</v>
      </c>
      <c r="B228" s="4">
        <v>3</v>
      </c>
      <c r="C228" s="4">
        <v>40</v>
      </c>
      <c r="D228" s="5">
        <v>47.95</v>
      </c>
      <c r="E228" s="5" t="s">
        <v>1</v>
      </c>
      <c r="F228" s="4">
        <v>18</v>
      </c>
      <c r="G228" s="4">
        <v>1</v>
      </c>
      <c r="H228" s="5">
        <v>3.8</v>
      </c>
      <c r="J228" s="6" t="str">
        <f t="shared" si="10"/>
        <v>+18</v>
      </c>
      <c r="K228" s="6" t="str">
        <f t="shared" si="11"/>
        <v>+1</v>
      </c>
      <c r="L228" s="6" t="str">
        <f t="shared" si="12"/>
        <v>+3,8</v>
      </c>
      <c r="N228" s="2">
        <v>18</v>
      </c>
      <c r="O228" s="2">
        <v>1</v>
      </c>
      <c r="P228" s="2">
        <v>3.8</v>
      </c>
    </row>
    <row r="229" spans="1:16" x14ac:dyDescent="0.25">
      <c r="A229" s="3" t="s">
        <v>241</v>
      </c>
      <c r="B229" s="4">
        <v>3</v>
      </c>
      <c r="C229" s="4">
        <v>43</v>
      </c>
      <c r="D229" s="5">
        <v>14.63</v>
      </c>
      <c r="E229" s="5" t="s">
        <v>1</v>
      </c>
      <c r="F229" s="4">
        <v>18</v>
      </c>
      <c r="G229" s="4">
        <v>9</v>
      </c>
      <c r="H229" s="5">
        <v>51.9</v>
      </c>
      <c r="J229" s="6" t="str">
        <f t="shared" si="10"/>
        <v>+18</v>
      </c>
      <c r="K229" s="6" t="str">
        <f t="shared" si="11"/>
        <v>+9</v>
      </c>
      <c r="L229" s="6" t="str">
        <f t="shared" si="12"/>
        <v>+51,9</v>
      </c>
      <c r="N229" s="2">
        <v>18</v>
      </c>
      <c r="O229" s="2">
        <v>9</v>
      </c>
      <c r="P229" s="2">
        <v>51.9</v>
      </c>
    </row>
    <row r="230" spans="1:16" x14ac:dyDescent="0.25">
      <c r="A230" s="3" t="s">
        <v>242</v>
      </c>
      <c r="B230" s="4">
        <v>3</v>
      </c>
      <c r="C230" s="4">
        <v>45</v>
      </c>
      <c r="D230" s="5">
        <v>40.700000000000003</v>
      </c>
      <c r="E230" s="5" t="s">
        <v>1</v>
      </c>
      <c r="F230" s="4">
        <v>18</v>
      </c>
      <c r="G230" s="4">
        <v>18</v>
      </c>
      <c r="H230" s="5">
        <v>30.8</v>
      </c>
      <c r="J230" s="6" t="str">
        <f t="shared" si="10"/>
        <v>+18</v>
      </c>
      <c r="K230" s="6" t="str">
        <f t="shared" si="11"/>
        <v>+18</v>
      </c>
      <c r="L230" s="6" t="str">
        <f t="shared" si="12"/>
        <v>+30,8</v>
      </c>
      <c r="N230" s="2">
        <v>18</v>
      </c>
      <c r="O230" s="2">
        <v>18</v>
      </c>
      <c r="P230" s="2">
        <v>30.8</v>
      </c>
    </row>
    <row r="231" spans="1:16" x14ac:dyDescent="0.25">
      <c r="A231" s="3" t="s">
        <v>243</v>
      </c>
      <c r="B231" s="4">
        <v>3</v>
      </c>
      <c r="C231" s="4">
        <v>48</v>
      </c>
      <c r="D231" s="5">
        <v>6.14</v>
      </c>
      <c r="E231" s="5" t="s">
        <v>1</v>
      </c>
      <c r="F231" s="4">
        <v>18</v>
      </c>
      <c r="G231" s="4">
        <v>27</v>
      </c>
      <c r="H231" s="5">
        <v>0.3</v>
      </c>
      <c r="J231" s="6" t="str">
        <f t="shared" si="10"/>
        <v>+18</v>
      </c>
      <c r="K231" s="6" t="str">
        <f t="shared" si="11"/>
        <v>+27</v>
      </c>
      <c r="L231" s="6" t="str">
        <f t="shared" si="12"/>
        <v>+0,3</v>
      </c>
      <c r="N231" s="2">
        <v>18</v>
      </c>
      <c r="O231" s="2">
        <v>27</v>
      </c>
      <c r="P231" s="2">
        <v>0.3</v>
      </c>
    </row>
    <row r="232" spans="1:16" x14ac:dyDescent="0.25">
      <c r="A232" s="3" t="s">
        <v>244</v>
      </c>
      <c r="B232" s="4">
        <v>3</v>
      </c>
      <c r="C232" s="4">
        <v>50</v>
      </c>
      <c r="D232" s="5">
        <v>30.93</v>
      </c>
      <c r="E232" s="5" t="s">
        <v>1</v>
      </c>
      <c r="F232" s="4">
        <v>18</v>
      </c>
      <c r="G232" s="4">
        <v>35</v>
      </c>
      <c r="H232" s="5">
        <v>20.6</v>
      </c>
      <c r="J232" s="6" t="str">
        <f t="shared" si="10"/>
        <v>+18</v>
      </c>
      <c r="K232" s="6" t="str">
        <f t="shared" si="11"/>
        <v>+35</v>
      </c>
      <c r="L232" s="6" t="str">
        <f t="shared" si="12"/>
        <v>+20,6</v>
      </c>
      <c r="N232" s="2">
        <v>18</v>
      </c>
      <c r="O232" s="2">
        <v>35</v>
      </c>
      <c r="P232" s="2">
        <v>20.6</v>
      </c>
    </row>
    <row r="233" spans="1:16" x14ac:dyDescent="0.25">
      <c r="A233" s="3" t="s">
        <v>245</v>
      </c>
      <c r="B233" s="4">
        <v>3</v>
      </c>
      <c r="C233" s="4">
        <v>52</v>
      </c>
      <c r="D233" s="5">
        <v>55.03</v>
      </c>
      <c r="E233" s="5" t="s">
        <v>1</v>
      </c>
      <c r="F233" s="4">
        <v>18</v>
      </c>
      <c r="G233" s="4">
        <v>43</v>
      </c>
      <c r="H233" s="5">
        <v>31.6</v>
      </c>
      <c r="J233" s="6" t="str">
        <f t="shared" si="10"/>
        <v>+18</v>
      </c>
      <c r="K233" s="6" t="str">
        <f t="shared" si="11"/>
        <v>+43</v>
      </c>
      <c r="L233" s="6" t="str">
        <f t="shared" si="12"/>
        <v>+31,6</v>
      </c>
      <c r="N233" s="2">
        <v>18</v>
      </c>
      <c r="O233" s="2">
        <v>43</v>
      </c>
      <c r="P233" s="2">
        <v>31.6</v>
      </c>
    </row>
    <row r="234" spans="1:16" x14ac:dyDescent="0.25">
      <c r="A234" s="3" t="s">
        <v>246</v>
      </c>
      <c r="B234" s="4">
        <v>3</v>
      </c>
      <c r="C234" s="4">
        <v>55</v>
      </c>
      <c r="D234" s="5">
        <v>18.420000000000002</v>
      </c>
      <c r="E234" s="5" t="s">
        <v>1</v>
      </c>
      <c r="F234" s="4">
        <v>18</v>
      </c>
      <c r="G234" s="4">
        <v>51</v>
      </c>
      <c r="H234" s="5">
        <v>33.299999999999997</v>
      </c>
      <c r="J234" s="6" t="str">
        <f t="shared" si="10"/>
        <v>+18</v>
      </c>
      <c r="K234" s="6" t="str">
        <f t="shared" si="11"/>
        <v>+51</v>
      </c>
      <c r="L234" s="6" t="str">
        <f t="shared" si="12"/>
        <v>+33,3</v>
      </c>
      <c r="N234" s="2">
        <v>18</v>
      </c>
      <c r="O234" s="2">
        <v>51</v>
      </c>
      <c r="P234" s="2">
        <v>33.299999999999997</v>
      </c>
    </row>
    <row r="235" spans="1:16" x14ac:dyDescent="0.25">
      <c r="A235" s="3" t="s">
        <v>247</v>
      </c>
      <c r="B235" s="4">
        <v>3</v>
      </c>
      <c r="C235" s="4">
        <v>57</v>
      </c>
      <c r="D235" s="5">
        <v>41.08</v>
      </c>
      <c r="E235" s="5" t="s">
        <v>1</v>
      </c>
      <c r="F235" s="4">
        <v>18</v>
      </c>
      <c r="G235" s="4">
        <v>59</v>
      </c>
      <c r="H235" s="5">
        <v>25.9</v>
      </c>
      <c r="J235" s="6" t="str">
        <f t="shared" si="10"/>
        <v>+18</v>
      </c>
      <c r="K235" s="6" t="str">
        <f t="shared" si="11"/>
        <v>+59</v>
      </c>
      <c r="L235" s="6" t="str">
        <f t="shared" si="12"/>
        <v>+25,9</v>
      </c>
      <c r="N235" s="2">
        <v>18</v>
      </c>
      <c r="O235" s="2">
        <v>59</v>
      </c>
      <c r="P235" s="2">
        <v>25.9</v>
      </c>
    </row>
    <row r="236" spans="1:16" x14ac:dyDescent="0.25">
      <c r="A236" s="3" t="s">
        <v>248</v>
      </c>
      <c r="B236" s="4">
        <v>4</v>
      </c>
      <c r="C236" s="4">
        <v>0</v>
      </c>
      <c r="D236" s="5">
        <v>2.98</v>
      </c>
      <c r="E236" s="5" t="s">
        <v>1</v>
      </c>
      <c r="F236" s="4">
        <v>19</v>
      </c>
      <c r="G236" s="4">
        <v>7</v>
      </c>
      <c r="H236" s="5">
        <v>9.3000000000000007</v>
      </c>
      <c r="J236" s="6" t="str">
        <f t="shared" si="10"/>
        <v>+19</v>
      </c>
      <c r="K236" s="6" t="str">
        <f t="shared" si="11"/>
        <v>+7</v>
      </c>
      <c r="L236" s="6" t="str">
        <f t="shared" si="12"/>
        <v>+9,3</v>
      </c>
      <c r="N236" s="2">
        <v>19</v>
      </c>
      <c r="O236" s="2">
        <v>7</v>
      </c>
      <c r="P236" s="2">
        <v>9.3000000000000007</v>
      </c>
    </row>
    <row r="237" spans="1:16" x14ac:dyDescent="0.25">
      <c r="A237" s="3" t="s">
        <v>249</v>
      </c>
      <c r="B237" s="4">
        <v>4</v>
      </c>
      <c r="C237" s="4">
        <v>2</v>
      </c>
      <c r="D237" s="5">
        <v>24.09</v>
      </c>
      <c r="E237" s="5" t="s">
        <v>1</v>
      </c>
      <c r="F237" s="4">
        <v>19</v>
      </c>
      <c r="G237" s="4">
        <v>14</v>
      </c>
      <c r="H237" s="5">
        <v>43.6</v>
      </c>
      <c r="J237" s="6" t="str">
        <f t="shared" si="10"/>
        <v>+19</v>
      </c>
      <c r="K237" s="6" t="str">
        <f t="shared" si="11"/>
        <v>+14</v>
      </c>
      <c r="L237" s="6" t="str">
        <f t="shared" si="12"/>
        <v>+43,6</v>
      </c>
      <c r="N237" s="2">
        <v>19</v>
      </c>
      <c r="O237" s="2">
        <v>14</v>
      </c>
      <c r="P237" s="2">
        <v>43.6</v>
      </c>
    </row>
    <row r="238" spans="1:16" x14ac:dyDescent="0.25">
      <c r="A238" s="3" t="s">
        <v>250</v>
      </c>
      <c r="B238" s="4">
        <v>4</v>
      </c>
      <c r="C238" s="4">
        <v>4</v>
      </c>
      <c r="D238" s="5">
        <v>44.38</v>
      </c>
      <c r="E238" s="5" t="s">
        <v>1</v>
      </c>
      <c r="F238" s="4">
        <v>19</v>
      </c>
      <c r="G238" s="4">
        <v>22</v>
      </c>
      <c r="H238" s="5">
        <v>8.8000000000000007</v>
      </c>
      <c r="J238" s="6" t="str">
        <f t="shared" si="10"/>
        <v>+19</v>
      </c>
      <c r="K238" s="6" t="str">
        <f t="shared" si="11"/>
        <v>+22</v>
      </c>
      <c r="L238" s="6" t="str">
        <f t="shared" si="12"/>
        <v>+8,8</v>
      </c>
      <c r="N238" s="2">
        <v>19</v>
      </c>
      <c r="O238" s="2">
        <v>22</v>
      </c>
      <c r="P238" s="2">
        <v>8.8000000000000007</v>
      </c>
    </row>
    <row r="239" spans="1:16" x14ac:dyDescent="0.25">
      <c r="A239" s="3" t="s">
        <v>251</v>
      </c>
      <c r="B239" s="4">
        <v>4</v>
      </c>
      <c r="C239" s="4">
        <v>7</v>
      </c>
      <c r="D239" s="5">
        <v>3.82</v>
      </c>
      <c r="E239" s="5" t="s">
        <v>1</v>
      </c>
      <c r="F239" s="4">
        <v>19</v>
      </c>
      <c r="G239" s="4">
        <v>29</v>
      </c>
      <c r="H239" s="5">
        <v>25</v>
      </c>
      <c r="J239" s="6" t="str">
        <f t="shared" si="10"/>
        <v>+19</v>
      </c>
      <c r="K239" s="6" t="str">
        <f t="shared" si="11"/>
        <v>+29</v>
      </c>
      <c r="L239" s="6" t="str">
        <f t="shared" si="12"/>
        <v>+25</v>
      </c>
      <c r="N239" s="2">
        <v>19</v>
      </c>
      <c r="O239" s="2">
        <v>29</v>
      </c>
      <c r="P239" s="2">
        <v>25</v>
      </c>
    </row>
    <row r="240" spans="1:16" x14ac:dyDescent="0.25">
      <c r="A240" s="3" t="s">
        <v>252</v>
      </c>
      <c r="B240" s="4">
        <v>4</v>
      </c>
      <c r="C240" s="4">
        <v>9</v>
      </c>
      <c r="D240" s="5">
        <v>22.4</v>
      </c>
      <c r="E240" s="5" t="s">
        <v>1</v>
      </c>
      <c r="F240" s="4">
        <v>19</v>
      </c>
      <c r="G240" s="4">
        <v>36</v>
      </c>
      <c r="H240" s="5">
        <v>32.299999999999997</v>
      </c>
      <c r="J240" s="6" t="str">
        <f t="shared" si="10"/>
        <v>+19</v>
      </c>
      <c r="K240" s="6" t="str">
        <f t="shared" si="11"/>
        <v>+36</v>
      </c>
      <c r="L240" s="6" t="str">
        <f t="shared" si="12"/>
        <v>+32,3</v>
      </c>
      <c r="N240" s="2">
        <v>19</v>
      </c>
      <c r="O240" s="2">
        <v>36</v>
      </c>
      <c r="P240" s="2">
        <v>32.299999999999997</v>
      </c>
    </row>
    <row r="241" spans="1:16" x14ac:dyDescent="0.25">
      <c r="A241" s="3" t="s">
        <v>253</v>
      </c>
      <c r="B241" s="4">
        <v>4</v>
      </c>
      <c r="C241" s="4">
        <v>11</v>
      </c>
      <c r="D241" s="5">
        <v>40.08</v>
      </c>
      <c r="E241" s="5" t="s">
        <v>1</v>
      </c>
      <c r="F241" s="4">
        <v>19</v>
      </c>
      <c r="G241" s="4">
        <v>43</v>
      </c>
      <c r="H241" s="5">
        <v>30.7</v>
      </c>
      <c r="J241" s="6" t="str">
        <f t="shared" si="10"/>
        <v>+19</v>
      </c>
      <c r="K241" s="6" t="str">
        <f t="shared" si="11"/>
        <v>+43</v>
      </c>
      <c r="L241" s="6" t="str">
        <f t="shared" si="12"/>
        <v>+30,7</v>
      </c>
      <c r="N241" s="2">
        <v>19</v>
      </c>
      <c r="O241" s="2">
        <v>43</v>
      </c>
      <c r="P241" s="2">
        <v>30.7</v>
      </c>
    </row>
    <row r="242" spans="1:16" x14ac:dyDescent="0.25">
      <c r="A242" s="3" t="s">
        <v>254</v>
      </c>
      <c r="B242" s="4">
        <v>4</v>
      </c>
      <c r="C242" s="4">
        <v>13</v>
      </c>
      <c r="D242" s="5">
        <v>56.83</v>
      </c>
      <c r="E242" s="5" t="s">
        <v>1</v>
      </c>
      <c r="F242" s="4">
        <v>19</v>
      </c>
      <c r="G242" s="4">
        <v>50</v>
      </c>
      <c r="H242" s="5">
        <v>20.3</v>
      </c>
      <c r="J242" s="6" t="str">
        <f t="shared" si="10"/>
        <v>+19</v>
      </c>
      <c r="K242" s="6" t="str">
        <f t="shared" si="11"/>
        <v>+50</v>
      </c>
      <c r="L242" s="6" t="str">
        <f t="shared" si="12"/>
        <v>+20,3</v>
      </c>
      <c r="N242" s="2">
        <v>19</v>
      </c>
      <c r="O242" s="2">
        <v>50</v>
      </c>
      <c r="P242" s="2">
        <v>20.3</v>
      </c>
    </row>
    <row r="243" spans="1:16" x14ac:dyDescent="0.25">
      <c r="A243" s="3" t="s">
        <v>255</v>
      </c>
      <c r="B243" s="4">
        <v>4</v>
      </c>
      <c r="C243" s="4">
        <v>16</v>
      </c>
      <c r="D243" s="5">
        <v>12.63</v>
      </c>
      <c r="E243" s="5" t="s">
        <v>1</v>
      </c>
      <c r="F243" s="4">
        <v>19</v>
      </c>
      <c r="G243" s="4">
        <v>57</v>
      </c>
      <c r="H243" s="5">
        <v>1.2</v>
      </c>
      <c r="J243" s="6" t="str">
        <f t="shared" si="10"/>
        <v>+19</v>
      </c>
      <c r="K243" s="6" t="str">
        <f t="shared" si="11"/>
        <v>+57</v>
      </c>
      <c r="L243" s="6" t="str">
        <f t="shared" si="12"/>
        <v>+1,2</v>
      </c>
      <c r="N243" s="2">
        <v>19</v>
      </c>
      <c r="O243" s="2">
        <v>57</v>
      </c>
      <c r="P243" s="2">
        <v>1.2</v>
      </c>
    </row>
    <row r="244" spans="1:16" x14ac:dyDescent="0.25">
      <c r="A244" s="3" t="s">
        <v>256</v>
      </c>
      <c r="B244" s="4">
        <v>4</v>
      </c>
      <c r="C244" s="4">
        <v>18</v>
      </c>
      <c r="D244" s="5">
        <v>27.45</v>
      </c>
      <c r="E244" s="5" t="s">
        <v>1</v>
      </c>
      <c r="F244" s="4">
        <v>20</v>
      </c>
      <c r="G244" s="4">
        <v>3</v>
      </c>
      <c r="H244" s="5">
        <v>33.5</v>
      </c>
      <c r="J244" s="6" t="str">
        <f t="shared" si="10"/>
        <v>+20</v>
      </c>
      <c r="K244" s="6" t="str">
        <f t="shared" si="11"/>
        <v>+3</v>
      </c>
      <c r="L244" s="6" t="str">
        <f t="shared" si="12"/>
        <v>+33,5</v>
      </c>
      <c r="N244" s="2">
        <v>20</v>
      </c>
      <c r="O244" s="2">
        <v>3</v>
      </c>
      <c r="P244" s="2">
        <v>33.5</v>
      </c>
    </row>
    <row r="245" spans="1:16" x14ac:dyDescent="0.25">
      <c r="A245" s="3" t="s">
        <v>257</v>
      </c>
      <c r="B245" s="4">
        <v>4</v>
      </c>
      <c r="C245" s="4">
        <v>20</v>
      </c>
      <c r="D245" s="5">
        <v>41.27</v>
      </c>
      <c r="E245" s="5" t="s">
        <v>1</v>
      </c>
      <c r="F245" s="4">
        <v>20</v>
      </c>
      <c r="G245" s="4">
        <v>9</v>
      </c>
      <c r="H245" s="5">
        <v>57.4</v>
      </c>
      <c r="J245" s="6" t="str">
        <f t="shared" si="10"/>
        <v>+20</v>
      </c>
      <c r="K245" s="6" t="str">
        <f t="shared" si="11"/>
        <v>+9</v>
      </c>
      <c r="L245" s="6" t="str">
        <f t="shared" si="12"/>
        <v>+57,4</v>
      </c>
      <c r="N245" s="2">
        <v>20</v>
      </c>
      <c r="O245" s="2">
        <v>9</v>
      </c>
      <c r="P245" s="2">
        <v>57.4</v>
      </c>
    </row>
    <row r="246" spans="1:16" x14ac:dyDescent="0.25">
      <c r="A246" s="3" t="s">
        <v>258</v>
      </c>
      <c r="B246" s="4">
        <v>4</v>
      </c>
      <c r="C246" s="4">
        <v>22</v>
      </c>
      <c r="D246" s="5">
        <v>54.06</v>
      </c>
      <c r="E246" s="5" t="s">
        <v>1</v>
      </c>
      <c r="F246" s="4">
        <v>20</v>
      </c>
      <c r="G246" s="4">
        <v>16</v>
      </c>
      <c r="H246" s="5">
        <v>12.9</v>
      </c>
      <c r="J246" s="6" t="str">
        <f t="shared" si="10"/>
        <v>+20</v>
      </c>
      <c r="K246" s="6" t="str">
        <f t="shared" si="11"/>
        <v>+16</v>
      </c>
      <c r="L246" s="6" t="str">
        <f t="shared" si="12"/>
        <v>+12,9</v>
      </c>
      <c r="N246" s="2">
        <v>20</v>
      </c>
      <c r="O246" s="2">
        <v>16</v>
      </c>
      <c r="P246" s="2">
        <v>12.9</v>
      </c>
    </row>
    <row r="247" spans="1:16" x14ac:dyDescent="0.25">
      <c r="A247" s="3" t="s">
        <v>259</v>
      </c>
      <c r="B247" s="4">
        <v>4</v>
      </c>
      <c r="C247" s="4">
        <v>25</v>
      </c>
      <c r="D247" s="5">
        <v>5.8</v>
      </c>
      <c r="E247" s="5" t="s">
        <v>1</v>
      </c>
      <c r="F247" s="4">
        <v>20</v>
      </c>
      <c r="G247" s="4">
        <v>22</v>
      </c>
      <c r="H247" s="5">
        <v>20.100000000000001</v>
      </c>
      <c r="J247" s="6" t="str">
        <f t="shared" si="10"/>
        <v>+20</v>
      </c>
      <c r="K247" s="6" t="str">
        <f t="shared" si="11"/>
        <v>+22</v>
      </c>
      <c r="L247" s="6" t="str">
        <f t="shared" si="12"/>
        <v>+20,1</v>
      </c>
      <c r="N247" s="2">
        <v>20</v>
      </c>
      <c r="O247" s="2">
        <v>22</v>
      </c>
      <c r="P247" s="2">
        <v>20.100000000000001</v>
      </c>
    </row>
    <row r="248" spans="1:16" x14ac:dyDescent="0.25">
      <c r="A248" s="3" t="s">
        <v>260</v>
      </c>
      <c r="B248" s="4">
        <v>4</v>
      </c>
      <c r="C248" s="4">
        <v>27</v>
      </c>
      <c r="D248" s="5">
        <v>16.46</v>
      </c>
      <c r="E248" s="5" t="s">
        <v>1</v>
      </c>
      <c r="F248" s="4">
        <v>20</v>
      </c>
      <c r="G248" s="4">
        <v>28</v>
      </c>
      <c r="H248" s="5">
        <v>19.2</v>
      </c>
      <c r="J248" s="6" t="str">
        <f t="shared" si="10"/>
        <v>+20</v>
      </c>
      <c r="K248" s="6" t="str">
        <f t="shared" si="11"/>
        <v>+28</v>
      </c>
      <c r="L248" s="6" t="str">
        <f t="shared" si="12"/>
        <v>+19,2</v>
      </c>
      <c r="N248" s="2">
        <v>20</v>
      </c>
      <c r="O248" s="2">
        <v>28</v>
      </c>
      <c r="P248" s="2">
        <v>19.2</v>
      </c>
    </row>
    <row r="249" spans="1:16" x14ac:dyDescent="0.25">
      <c r="A249" s="3" t="s">
        <v>261</v>
      </c>
      <c r="B249" s="4">
        <v>4</v>
      </c>
      <c r="C249" s="4">
        <v>29</v>
      </c>
      <c r="D249" s="5">
        <v>26.01</v>
      </c>
      <c r="E249" s="5" t="s">
        <v>1</v>
      </c>
      <c r="F249" s="4">
        <v>20</v>
      </c>
      <c r="G249" s="4">
        <v>34</v>
      </c>
      <c r="H249" s="5">
        <v>10.4</v>
      </c>
      <c r="J249" s="6" t="str">
        <f t="shared" si="10"/>
        <v>+20</v>
      </c>
      <c r="K249" s="6" t="str">
        <f t="shared" si="11"/>
        <v>+34</v>
      </c>
      <c r="L249" s="6" t="str">
        <f t="shared" si="12"/>
        <v>+10,4</v>
      </c>
      <c r="N249" s="2">
        <v>20</v>
      </c>
      <c r="O249" s="2">
        <v>34</v>
      </c>
      <c r="P249" s="2">
        <v>10.4</v>
      </c>
    </row>
    <row r="250" spans="1:16" x14ac:dyDescent="0.25">
      <c r="A250" s="3" t="s">
        <v>262</v>
      </c>
      <c r="B250" s="4">
        <v>4</v>
      </c>
      <c r="C250" s="4">
        <v>31</v>
      </c>
      <c r="D250" s="5">
        <v>34.43</v>
      </c>
      <c r="E250" s="5" t="s">
        <v>1</v>
      </c>
      <c r="F250" s="4">
        <v>20</v>
      </c>
      <c r="G250" s="4">
        <v>39</v>
      </c>
      <c r="H250" s="5">
        <v>53.7</v>
      </c>
      <c r="J250" s="6" t="str">
        <f t="shared" si="10"/>
        <v>+20</v>
      </c>
      <c r="K250" s="6" t="str">
        <f t="shared" si="11"/>
        <v>+39</v>
      </c>
      <c r="L250" s="6" t="str">
        <f t="shared" si="12"/>
        <v>+53,7</v>
      </c>
      <c r="N250" s="2">
        <v>20</v>
      </c>
      <c r="O250" s="2">
        <v>39</v>
      </c>
      <c r="P250" s="2">
        <v>53.7</v>
      </c>
    </row>
    <row r="251" spans="1:16" x14ac:dyDescent="0.25">
      <c r="A251" s="3" t="s">
        <v>263</v>
      </c>
      <c r="B251" s="4">
        <v>4</v>
      </c>
      <c r="C251" s="4">
        <v>33</v>
      </c>
      <c r="D251" s="5">
        <v>41.7</v>
      </c>
      <c r="E251" s="5" t="s">
        <v>1</v>
      </c>
      <c r="F251" s="4">
        <v>20</v>
      </c>
      <c r="G251" s="4">
        <v>45</v>
      </c>
      <c r="H251" s="5">
        <v>29.2</v>
      </c>
      <c r="J251" s="6" t="str">
        <f t="shared" si="10"/>
        <v>+20</v>
      </c>
      <c r="K251" s="6" t="str">
        <f t="shared" si="11"/>
        <v>+45</v>
      </c>
      <c r="L251" s="6" t="str">
        <f t="shared" si="12"/>
        <v>+29,2</v>
      </c>
      <c r="N251" s="2">
        <v>20</v>
      </c>
      <c r="O251" s="2">
        <v>45</v>
      </c>
      <c r="P251" s="2">
        <v>29.2</v>
      </c>
    </row>
    <row r="252" spans="1:16" x14ac:dyDescent="0.25">
      <c r="A252" s="3" t="s">
        <v>264</v>
      </c>
      <c r="B252" s="4">
        <v>4</v>
      </c>
      <c r="C252" s="4">
        <v>35</v>
      </c>
      <c r="D252" s="5">
        <v>47.78</v>
      </c>
      <c r="E252" s="5" t="s">
        <v>1</v>
      </c>
      <c r="F252" s="4">
        <v>20</v>
      </c>
      <c r="G252" s="4">
        <v>50</v>
      </c>
      <c r="H252" s="5">
        <v>57.2</v>
      </c>
      <c r="J252" s="6" t="str">
        <f t="shared" si="10"/>
        <v>+20</v>
      </c>
      <c r="K252" s="6" t="str">
        <f t="shared" si="11"/>
        <v>+50</v>
      </c>
      <c r="L252" s="6" t="str">
        <f t="shared" si="12"/>
        <v>+57,2</v>
      </c>
      <c r="N252" s="2">
        <v>20</v>
      </c>
      <c r="O252" s="2">
        <v>50</v>
      </c>
      <c r="P252" s="2">
        <v>57.2</v>
      </c>
    </row>
    <row r="253" spans="1:16" x14ac:dyDescent="0.25">
      <c r="A253" s="3" t="s">
        <v>265</v>
      </c>
      <c r="B253" s="4">
        <v>4</v>
      </c>
      <c r="C253" s="4">
        <v>37</v>
      </c>
      <c r="D253" s="5">
        <v>52.64</v>
      </c>
      <c r="E253" s="5" t="s">
        <v>1</v>
      </c>
      <c r="F253" s="4">
        <v>20</v>
      </c>
      <c r="G253" s="4">
        <v>56</v>
      </c>
      <c r="H253" s="5">
        <v>17.7</v>
      </c>
      <c r="J253" s="6" t="str">
        <f t="shared" si="10"/>
        <v>+20</v>
      </c>
      <c r="K253" s="6" t="str">
        <f t="shared" si="11"/>
        <v>+56</v>
      </c>
      <c r="L253" s="6" t="str">
        <f t="shared" si="12"/>
        <v>+17,7</v>
      </c>
      <c r="N253" s="2">
        <v>20</v>
      </c>
      <c r="O253" s="2">
        <v>56</v>
      </c>
      <c r="P253" s="2">
        <v>17.7</v>
      </c>
    </row>
    <row r="254" spans="1:16" x14ac:dyDescent="0.25">
      <c r="A254" s="3" t="s">
        <v>266</v>
      </c>
      <c r="B254" s="4">
        <v>4</v>
      </c>
      <c r="C254" s="4">
        <v>39</v>
      </c>
      <c r="D254" s="5">
        <v>56.25</v>
      </c>
      <c r="E254" s="5" t="s">
        <v>1</v>
      </c>
      <c r="F254" s="4">
        <v>21</v>
      </c>
      <c r="G254" s="4">
        <v>1</v>
      </c>
      <c r="H254" s="5">
        <v>30.9</v>
      </c>
      <c r="J254" s="6" t="str">
        <f t="shared" si="10"/>
        <v>+21</v>
      </c>
      <c r="K254" s="6" t="str">
        <f t="shared" si="11"/>
        <v>+1</v>
      </c>
      <c r="L254" s="6" t="str">
        <f t="shared" si="12"/>
        <v>+30,9</v>
      </c>
      <c r="N254" s="2">
        <v>21</v>
      </c>
      <c r="O254" s="2">
        <v>1</v>
      </c>
      <c r="P254" s="2">
        <v>30.9</v>
      </c>
    </row>
    <row r="255" spans="1:16" x14ac:dyDescent="0.25">
      <c r="A255" s="3" t="s">
        <v>267</v>
      </c>
      <c r="B255" s="4">
        <v>4</v>
      </c>
      <c r="C255" s="4">
        <v>41</v>
      </c>
      <c r="D255" s="5">
        <v>58.57</v>
      </c>
      <c r="E255" s="5" t="s">
        <v>1</v>
      </c>
      <c r="F255" s="4">
        <v>21</v>
      </c>
      <c r="G255" s="4">
        <v>6</v>
      </c>
      <c r="H255" s="5">
        <v>36.9</v>
      </c>
      <c r="J255" s="6" t="str">
        <f t="shared" si="10"/>
        <v>+21</v>
      </c>
      <c r="K255" s="6" t="str">
        <f t="shared" si="11"/>
        <v>+6</v>
      </c>
      <c r="L255" s="6" t="str">
        <f t="shared" si="12"/>
        <v>+36,9</v>
      </c>
      <c r="N255" s="2">
        <v>21</v>
      </c>
      <c r="O255" s="2">
        <v>6</v>
      </c>
      <c r="P255" s="2">
        <v>36.9</v>
      </c>
    </row>
    <row r="256" spans="1:16" x14ac:dyDescent="0.25">
      <c r="A256" s="3" t="s">
        <v>268</v>
      </c>
      <c r="B256" s="4">
        <v>4</v>
      </c>
      <c r="C256" s="4">
        <v>43</v>
      </c>
      <c r="D256" s="5">
        <v>59.57</v>
      </c>
      <c r="E256" s="5" t="s">
        <v>1</v>
      </c>
      <c r="F256" s="4">
        <v>21</v>
      </c>
      <c r="G256" s="4">
        <v>11</v>
      </c>
      <c r="H256" s="5">
        <v>35.799999999999997</v>
      </c>
      <c r="J256" s="6" t="str">
        <f t="shared" si="10"/>
        <v>+21</v>
      </c>
      <c r="K256" s="6" t="str">
        <f t="shared" si="11"/>
        <v>+11</v>
      </c>
      <c r="L256" s="6" t="str">
        <f t="shared" si="12"/>
        <v>+35,8</v>
      </c>
      <c r="N256" s="2">
        <v>21</v>
      </c>
      <c r="O256" s="2">
        <v>11</v>
      </c>
      <c r="P256" s="2">
        <v>35.799999999999997</v>
      </c>
    </row>
    <row r="257" spans="1:16" x14ac:dyDescent="0.25">
      <c r="A257" s="3" t="s">
        <v>269</v>
      </c>
      <c r="B257" s="4">
        <v>4</v>
      </c>
      <c r="C257" s="4">
        <v>45</v>
      </c>
      <c r="D257" s="5">
        <v>59.2</v>
      </c>
      <c r="E257" s="5" t="s">
        <v>1</v>
      </c>
      <c r="F257" s="4">
        <v>21</v>
      </c>
      <c r="G257" s="4">
        <v>16</v>
      </c>
      <c r="H257" s="5">
        <v>27.7</v>
      </c>
      <c r="J257" s="6" t="str">
        <f t="shared" si="10"/>
        <v>+21</v>
      </c>
      <c r="K257" s="6" t="str">
        <f t="shared" si="11"/>
        <v>+16</v>
      </c>
      <c r="L257" s="6" t="str">
        <f t="shared" si="12"/>
        <v>+27,7</v>
      </c>
      <c r="N257" s="2">
        <v>21</v>
      </c>
      <c r="O257" s="2">
        <v>16</v>
      </c>
      <c r="P257" s="2">
        <v>27.7</v>
      </c>
    </row>
    <row r="258" spans="1:16" x14ac:dyDescent="0.25">
      <c r="A258" s="3" t="s">
        <v>270</v>
      </c>
      <c r="B258" s="4">
        <v>4</v>
      </c>
      <c r="C258" s="4">
        <v>47</v>
      </c>
      <c r="D258" s="5">
        <v>57.42</v>
      </c>
      <c r="E258" s="5" t="s">
        <v>1</v>
      </c>
      <c r="F258" s="4">
        <v>21</v>
      </c>
      <c r="G258" s="4">
        <v>21</v>
      </c>
      <c r="H258" s="5">
        <v>12.8</v>
      </c>
      <c r="J258" s="6" t="str">
        <f t="shared" ref="J258:J321" si="13">$E258&amp;F258</f>
        <v>+21</v>
      </c>
      <c r="K258" s="6" t="str">
        <f t="shared" ref="K258:K321" si="14">$E258&amp;G258</f>
        <v>+21</v>
      </c>
      <c r="L258" s="6" t="str">
        <f t="shared" ref="L258:L321" si="15">$E258&amp;H258</f>
        <v>+12,8</v>
      </c>
      <c r="N258" s="2">
        <v>21</v>
      </c>
      <c r="O258" s="2">
        <v>21</v>
      </c>
      <c r="P258" s="2">
        <v>12.8</v>
      </c>
    </row>
    <row r="259" spans="1:16" x14ac:dyDescent="0.25">
      <c r="A259" s="3" t="s">
        <v>271</v>
      </c>
      <c r="B259" s="4">
        <v>4</v>
      </c>
      <c r="C259" s="4">
        <v>49</v>
      </c>
      <c r="D259" s="5">
        <v>54.2</v>
      </c>
      <c r="E259" s="5" t="s">
        <v>1</v>
      </c>
      <c r="F259" s="4">
        <v>21</v>
      </c>
      <c r="G259" s="4">
        <v>25</v>
      </c>
      <c r="H259" s="5">
        <v>51.3</v>
      </c>
      <c r="J259" s="6" t="str">
        <f t="shared" si="13"/>
        <v>+21</v>
      </c>
      <c r="K259" s="6" t="str">
        <f t="shared" si="14"/>
        <v>+25</v>
      </c>
      <c r="L259" s="6" t="str">
        <f t="shared" si="15"/>
        <v>+51,3</v>
      </c>
      <c r="N259" s="2">
        <v>21</v>
      </c>
      <c r="O259" s="2">
        <v>25</v>
      </c>
      <c r="P259" s="2">
        <v>51.3</v>
      </c>
    </row>
    <row r="260" spans="1:16" x14ac:dyDescent="0.25">
      <c r="A260" s="3" t="s">
        <v>272</v>
      </c>
      <c r="B260" s="4">
        <v>4</v>
      </c>
      <c r="C260" s="4">
        <v>51</v>
      </c>
      <c r="D260" s="5">
        <v>49.48</v>
      </c>
      <c r="E260" s="5" t="s">
        <v>1</v>
      </c>
      <c r="F260" s="4">
        <v>21</v>
      </c>
      <c r="G260" s="4">
        <v>30</v>
      </c>
      <c r="H260" s="5">
        <v>23.2</v>
      </c>
      <c r="J260" s="6" t="str">
        <f t="shared" si="13"/>
        <v>+21</v>
      </c>
      <c r="K260" s="6" t="str">
        <f t="shared" si="14"/>
        <v>+30</v>
      </c>
      <c r="L260" s="6" t="str">
        <f t="shared" si="15"/>
        <v>+23,2</v>
      </c>
      <c r="N260" s="2">
        <v>21</v>
      </c>
      <c r="O260" s="2">
        <v>30</v>
      </c>
      <c r="P260" s="2">
        <v>23.2</v>
      </c>
    </row>
    <row r="261" spans="1:16" x14ac:dyDescent="0.25">
      <c r="A261" s="3" t="s">
        <v>273</v>
      </c>
      <c r="B261" s="4">
        <v>4</v>
      </c>
      <c r="C261" s="4">
        <v>53</v>
      </c>
      <c r="D261" s="5">
        <v>43.22</v>
      </c>
      <c r="E261" s="5" t="s">
        <v>1</v>
      </c>
      <c r="F261" s="4">
        <v>21</v>
      </c>
      <c r="G261" s="4">
        <v>34</v>
      </c>
      <c r="H261" s="5">
        <v>48.7</v>
      </c>
      <c r="J261" s="6" t="str">
        <f t="shared" si="13"/>
        <v>+21</v>
      </c>
      <c r="K261" s="6" t="str">
        <f t="shared" si="14"/>
        <v>+34</v>
      </c>
      <c r="L261" s="6" t="str">
        <f t="shared" si="15"/>
        <v>+48,7</v>
      </c>
      <c r="N261" s="2">
        <v>21</v>
      </c>
      <c r="O261" s="2">
        <v>34</v>
      </c>
      <c r="P261" s="2">
        <v>48.7</v>
      </c>
    </row>
    <row r="262" spans="1:16" x14ac:dyDescent="0.25">
      <c r="A262" s="3" t="s">
        <v>274</v>
      </c>
      <c r="B262" s="4">
        <v>4</v>
      </c>
      <c r="C262" s="4">
        <v>55</v>
      </c>
      <c r="D262" s="5">
        <v>35.380000000000003</v>
      </c>
      <c r="E262" s="5" t="s">
        <v>1</v>
      </c>
      <c r="F262" s="4">
        <v>21</v>
      </c>
      <c r="G262" s="4">
        <v>39</v>
      </c>
      <c r="H262" s="5">
        <v>8</v>
      </c>
      <c r="J262" s="6" t="str">
        <f t="shared" si="13"/>
        <v>+21</v>
      </c>
      <c r="K262" s="6" t="str">
        <f t="shared" si="14"/>
        <v>+39</v>
      </c>
      <c r="L262" s="6" t="str">
        <f t="shared" si="15"/>
        <v>+8</v>
      </c>
      <c r="N262" s="2">
        <v>21</v>
      </c>
      <c r="O262" s="2">
        <v>39</v>
      </c>
      <c r="P262" s="2">
        <v>8</v>
      </c>
    </row>
    <row r="263" spans="1:16" x14ac:dyDescent="0.25">
      <c r="A263" s="3" t="s">
        <v>275</v>
      </c>
      <c r="B263" s="4">
        <v>4</v>
      </c>
      <c r="C263" s="4">
        <v>57</v>
      </c>
      <c r="D263" s="5">
        <v>25.91</v>
      </c>
      <c r="E263" s="5" t="s">
        <v>1</v>
      </c>
      <c r="F263" s="4">
        <v>21</v>
      </c>
      <c r="G263" s="4">
        <v>43</v>
      </c>
      <c r="H263" s="5">
        <v>21.2</v>
      </c>
      <c r="J263" s="6" t="str">
        <f t="shared" si="13"/>
        <v>+21</v>
      </c>
      <c r="K263" s="6" t="str">
        <f t="shared" si="14"/>
        <v>+43</v>
      </c>
      <c r="L263" s="6" t="str">
        <f t="shared" si="15"/>
        <v>+21,2</v>
      </c>
      <c r="N263" s="2">
        <v>21</v>
      </c>
      <c r="O263" s="2">
        <v>43</v>
      </c>
      <c r="P263" s="2">
        <v>21.2</v>
      </c>
    </row>
    <row r="264" spans="1:16" x14ac:dyDescent="0.25">
      <c r="A264" s="3" t="s">
        <v>276</v>
      </c>
      <c r="B264" s="4">
        <v>4</v>
      </c>
      <c r="C264" s="4">
        <v>59</v>
      </c>
      <c r="D264" s="5">
        <v>14.77</v>
      </c>
      <c r="E264" s="5" t="s">
        <v>1</v>
      </c>
      <c r="F264" s="4">
        <v>21</v>
      </c>
      <c r="G264" s="4">
        <v>47</v>
      </c>
      <c r="H264" s="5">
        <v>28.5</v>
      </c>
      <c r="J264" s="6" t="str">
        <f t="shared" si="13"/>
        <v>+21</v>
      </c>
      <c r="K264" s="6" t="str">
        <f t="shared" si="14"/>
        <v>+47</v>
      </c>
      <c r="L264" s="6" t="str">
        <f t="shared" si="15"/>
        <v>+28,5</v>
      </c>
      <c r="N264" s="2">
        <v>21</v>
      </c>
      <c r="O264" s="2">
        <v>47</v>
      </c>
      <c r="P264" s="2">
        <v>28.5</v>
      </c>
    </row>
    <row r="265" spans="1:16" x14ac:dyDescent="0.25">
      <c r="A265" s="3" t="s">
        <v>277</v>
      </c>
      <c r="B265" s="4">
        <v>5</v>
      </c>
      <c r="C265" s="4">
        <v>1</v>
      </c>
      <c r="D265" s="5">
        <v>1.9</v>
      </c>
      <c r="E265" s="5" t="s">
        <v>1</v>
      </c>
      <c r="F265" s="4">
        <v>21</v>
      </c>
      <c r="G265" s="4">
        <v>51</v>
      </c>
      <c r="H265" s="5">
        <v>30.1</v>
      </c>
      <c r="J265" s="6" t="str">
        <f t="shared" si="13"/>
        <v>+21</v>
      </c>
      <c r="K265" s="6" t="str">
        <f t="shared" si="14"/>
        <v>+51</v>
      </c>
      <c r="L265" s="6" t="str">
        <f t="shared" si="15"/>
        <v>+30,1</v>
      </c>
      <c r="N265" s="2">
        <v>21</v>
      </c>
      <c r="O265" s="2">
        <v>51</v>
      </c>
      <c r="P265" s="2">
        <v>30.1</v>
      </c>
    </row>
    <row r="266" spans="1:16" x14ac:dyDescent="0.25">
      <c r="A266" s="3" t="s">
        <v>278</v>
      </c>
      <c r="B266" s="4">
        <v>5</v>
      </c>
      <c r="C266" s="4">
        <v>2</v>
      </c>
      <c r="D266" s="5">
        <v>47.26</v>
      </c>
      <c r="E266" s="5" t="s">
        <v>1</v>
      </c>
      <c r="F266" s="4">
        <v>21</v>
      </c>
      <c r="G266" s="4">
        <v>55</v>
      </c>
      <c r="H266" s="5">
        <v>26.2</v>
      </c>
      <c r="J266" s="6" t="str">
        <f t="shared" si="13"/>
        <v>+21</v>
      </c>
      <c r="K266" s="6" t="str">
        <f t="shared" si="14"/>
        <v>+55</v>
      </c>
      <c r="L266" s="6" t="str">
        <f t="shared" si="15"/>
        <v>+26,2</v>
      </c>
      <c r="N266" s="2">
        <v>21</v>
      </c>
      <c r="O266" s="2">
        <v>55</v>
      </c>
      <c r="P266" s="2">
        <v>26.2</v>
      </c>
    </row>
    <row r="267" spans="1:16" x14ac:dyDescent="0.25">
      <c r="A267" s="3" t="s">
        <v>279</v>
      </c>
      <c r="B267" s="4">
        <v>5</v>
      </c>
      <c r="C267" s="4">
        <v>4</v>
      </c>
      <c r="D267" s="5">
        <v>30.81</v>
      </c>
      <c r="E267" s="5" t="s">
        <v>1</v>
      </c>
      <c r="F267" s="4">
        <v>21</v>
      </c>
      <c r="G267" s="4">
        <v>59</v>
      </c>
      <c r="H267" s="5">
        <v>16.899999999999999</v>
      </c>
      <c r="J267" s="6" t="str">
        <f t="shared" si="13"/>
        <v>+21</v>
      </c>
      <c r="K267" s="6" t="str">
        <f t="shared" si="14"/>
        <v>+59</v>
      </c>
      <c r="L267" s="6" t="str">
        <f t="shared" si="15"/>
        <v>+16,9</v>
      </c>
      <c r="N267" s="2">
        <v>21</v>
      </c>
      <c r="O267" s="2">
        <v>59</v>
      </c>
      <c r="P267" s="2">
        <v>16.899999999999999</v>
      </c>
    </row>
    <row r="268" spans="1:16" x14ac:dyDescent="0.25">
      <c r="A268" s="3" t="s">
        <v>280</v>
      </c>
      <c r="B268" s="4">
        <v>5</v>
      </c>
      <c r="C268" s="4">
        <v>6</v>
      </c>
      <c r="D268" s="5">
        <v>12.49</v>
      </c>
      <c r="E268" s="5" t="s">
        <v>1</v>
      </c>
      <c r="F268" s="4">
        <v>22</v>
      </c>
      <c r="G268" s="4">
        <v>3</v>
      </c>
      <c r="H268" s="5">
        <v>2.4</v>
      </c>
      <c r="J268" s="6" t="str">
        <f t="shared" si="13"/>
        <v>+22</v>
      </c>
      <c r="K268" s="6" t="str">
        <f t="shared" si="14"/>
        <v>+3</v>
      </c>
      <c r="L268" s="6" t="str">
        <f t="shared" si="15"/>
        <v>+2,4</v>
      </c>
      <c r="N268" s="2">
        <v>22</v>
      </c>
      <c r="O268" s="2">
        <v>3</v>
      </c>
      <c r="P268" s="2">
        <v>2.4</v>
      </c>
    </row>
    <row r="269" spans="1:16" x14ac:dyDescent="0.25">
      <c r="A269" s="3" t="s">
        <v>281</v>
      </c>
      <c r="B269" s="4">
        <v>5</v>
      </c>
      <c r="C269" s="4">
        <v>7</v>
      </c>
      <c r="D269" s="5">
        <v>52.26</v>
      </c>
      <c r="E269" s="5" t="s">
        <v>1</v>
      </c>
      <c r="F269" s="4">
        <v>22</v>
      </c>
      <c r="G269" s="4">
        <v>6</v>
      </c>
      <c r="H269" s="5">
        <v>42.9</v>
      </c>
      <c r="J269" s="6" t="str">
        <f t="shared" si="13"/>
        <v>+22</v>
      </c>
      <c r="K269" s="6" t="str">
        <f t="shared" si="14"/>
        <v>+6</v>
      </c>
      <c r="L269" s="6" t="str">
        <f t="shared" si="15"/>
        <v>+42,9</v>
      </c>
      <c r="N269" s="2">
        <v>22</v>
      </c>
      <c r="O269" s="2">
        <v>6</v>
      </c>
      <c r="P269" s="2">
        <v>42.9</v>
      </c>
    </row>
    <row r="270" spans="1:16" x14ac:dyDescent="0.25">
      <c r="A270" s="3" t="s">
        <v>282</v>
      </c>
      <c r="B270" s="4">
        <v>5</v>
      </c>
      <c r="C270" s="4">
        <v>9</v>
      </c>
      <c r="D270" s="5">
        <v>30.06</v>
      </c>
      <c r="E270" s="5" t="s">
        <v>1</v>
      </c>
      <c r="F270" s="4">
        <v>22</v>
      </c>
      <c r="G270" s="4">
        <v>10</v>
      </c>
      <c r="H270" s="5">
        <v>18.7</v>
      </c>
      <c r="J270" s="6" t="str">
        <f t="shared" si="13"/>
        <v>+22</v>
      </c>
      <c r="K270" s="6" t="str">
        <f t="shared" si="14"/>
        <v>+10</v>
      </c>
      <c r="L270" s="6" t="str">
        <f t="shared" si="15"/>
        <v>+18,7</v>
      </c>
      <c r="N270" s="2">
        <v>22</v>
      </c>
      <c r="O270" s="2">
        <v>10</v>
      </c>
      <c r="P270" s="2">
        <v>18.7</v>
      </c>
    </row>
    <row r="271" spans="1:16" x14ac:dyDescent="0.25">
      <c r="A271" s="3" t="s">
        <v>283</v>
      </c>
      <c r="B271" s="4">
        <v>5</v>
      </c>
      <c r="C271" s="4">
        <v>11</v>
      </c>
      <c r="D271" s="5">
        <v>5.86</v>
      </c>
      <c r="E271" s="5" t="s">
        <v>1</v>
      </c>
      <c r="F271" s="4">
        <v>22</v>
      </c>
      <c r="G271" s="4">
        <v>13</v>
      </c>
      <c r="H271" s="5">
        <v>50</v>
      </c>
      <c r="J271" s="6" t="str">
        <f t="shared" si="13"/>
        <v>+22</v>
      </c>
      <c r="K271" s="6" t="str">
        <f t="shared" si="14"/>
        <v>+13</v>
      </c>
      <c r="L271" s="6" t="str">
        <f t="shared" si="15"/>
        <v>+50</v>
      </c>
      <c r="N271" s="2">
        <v>22</v>
      </c>
      <c r="O271" s="2">
        <v>13</v>
      </c>
      <c r="P271" s="2">
        <v>50</v>
      </c>
    </row>
    <row r="272" spans="1:16" x14ac:dyDescent="0.25">
      <c r="A272" s="3" t="s">
        <v>284</v>
      </c>
      <c r="B272" s="4">
        <v>5</v>
      </c>
      <c r="C272" s="4">
        <v>12</v>
      </c>
      <c r="D272" s="5">
        <v>39.61</v>
      </c>
      <c r="E272" s="5" t="s">
        <v>1</v>
      </c>
      <c r="F272" s="4">
        <v>22</v>
      </c>
      <c r="G272" s="4">
        <v>17</v>
      </c>
      <c r="H272" s="5">
        <v>16.8</v>
      </c>
      <c r="J272" s="6" t="str">
        <f t="shared" si="13"/>
        <v>+22</v>
      </c>
      <c r="K272" s="6" t="str">
        <f t="shared" si="14"/>
        <v>+17</v>
      </c>
      <c r="L272" s="6" t="str">
        <f t="shared" si="15"/>
        <v>+16,8</v>
      </c>
      <c r="N272" s="2">
        <v>22</v>
      </c>
      <c r="O272" s="2">
        <v>17</v>
      </c>
      <c r="P272" s="2">
        <v>16.8</v>
      </c>
    </row>
    <row r="273" spans="1:16" x14ac:dyDescent="0.25">
      <c r="A273" s="3" t="s">
        <v>285</v>
      </c>
      <c r="B273" s="4">
        <v>5</v>
      </c>
      <c r="C273" s="4">
        <v>14</v>
      </c>
      <c r="D273" s="5">
        <v>11.25</v>
      </c>
      <c r="E273" s="5" t="s">
        <v>1</v>
      </c>
      <c r="F273" s="4">
        <v>22</v>
      </c>
      <c r="G273" s="4">
        <v>20</v>
      </c>
      <c r="H273" s="5">
        <v>39.6</v>
      </c>
      <c r="J273" s="6" t="str">
        <f t="shared" si="13"/>
        <v>+22</v>
      </c>
      <c r="K273" s="6" t="str">
        <f t="shared" si="14"/>
        <v>+20</v>
      </c>
      <c r="L273" s="6" t="str">
        <f t="shared" si="15"/>
        <v>+39,6</v>
      </c>
      <c r="N273" s="2">
        <v>22</v>
      </c>
      <c r="O273" s="2">
        <v>20</v>
      </c>
      <c r="P273" s="2">
        <v>39.6</v>
      </c>
    </row>
    <row r="274" spans="1:16" x14ac:dyDescent="0.25">
      <c r="A274" s="3" t="s">
        <v>286</v>
      </c>
      <c r="B274" s="4">
        <v>5</v>
      </c>
      <c r="C274" s="4">
        <v>15</v>
      </c>
      <c r="D274" s="5">
        <v>40.76</v>
      </c>
      <c r="E274" s="5" t="s">
        <v>1</v>
      </c>
      <c r="F274" s="4">
        <v>22</v>
      </c>
      <c r="G274" s="4">
        <v>23</v>
      </c>
      <c r="H274" s="5">
        <v>58.5</v>
      </c>
      <c r="J274" s="6" t="str">
        <f t="shared" si="13"/>
        <v>+22</v>
      </c>
      <c r="K274" s="6" t="str">
        <f t="shared" si="14"/>
        <v>+23</v>
      </c>
      <c r="L274" s="6" t="str">
        <f t="shared" si="15"/>
        <v>+58,5</v>
      </c>
      <c r="N274" s="2">
        <v>22</v>
      </c>
      <c r="O274" s="2">
        <v>23</v>
      </c>
      <c r="P274" s="2">
        <v>58.5</v>
      </c>
    </row>
    <row r="275" spans="1:16" x14ac:dyDescent="0.25">
      <c r="A275" s="3" t="s">
        <v>287</v>
      </c>
      <c r="B275" s="4">
        <v>5</v>
      </c>
      <c r="C275" s="4">
        <v>17</v>
      </c>
      <c r="D275" s="5">
        <v>8.07</v>
      </c>
      <c r="E275" s="5" t="s">
        <v>1</v>
      </c>
      <c r="F275" s="4">
        <v>22</v>
      </c>
      <c r="G275" s="4">
        <v>27</v>
      </c>
      <c r="H275" s="5">
        <v>13.6</v>
      </c>
      <c r="J275" s="6" t="str">
        <f t="shared" si="13"/>
        <v>+22</v>
      </c>
      <c r="K275" s="6" t="str">
        <f t="shared" si="14"/>
        <v>+27</v>
      </c>
      <c r="L275" s="6" t="str">
        <f t="shared" si="15"/>
        <v>+13,6</v>
      </c>
      <c r="N275" s="2">
        <v>22</v>
      </c>
      <c r="O275" s="2">
        <v>27</v>
      </c>
      <c r="P275" s="2">
        <v>13.6</v>
      </c>
    </row>
    <row r="276" spans="1:16" x14ac:dyDescent="0.25">
      <c r="A276" s="3" t="s">
        <v>288</v>
      </c>
      <c r="B276" s="4">
        <v>5</v>
      </c>
      <c r="C276" s="4">
        <v>18</v>
      </c>
      <c r="D276" s="5">
        <v>33.15</v>
      </c>
      <c r="E276" s="5" t="s">
        <v>1</v>
      </c>
      <c r="F276" s="4">
        <v>22</v>
      </c>
      <c r="G276" s="4">
        <v>30</v>
      </c>
      <c r="H276" s="5">
        <v>25.3</v>
      </c>
      <c r="J276" s="6" t="str">
        <f t="shared" si="13"/>
        <v>+22</v>
      </c>
      <c r="K276" s="6" t="str">
        <f t="shared" si="14"/>
        <v>+30</v>
      </c>
      <c r="L276" s="6" t="str">
        <f t="shared" si="15"/>
        <v>+25,3</v>
      </c>
      <c r="N276" s="2">
        <v>22</v>
      </c>
      <c r="O276" s="2">
        <v>30</v>
      </c>
      <c r="P276" s="2">
        <v>25.3</v>
      </c>
    </row>
    <row r="277" spans="1:16" x14ac:dyDescent="0.25">
      <c r="A277" s="3" t="s">
        <v>289</v>
      </c>
      <c r="B277" s="4">
        <v>5</v>
      </c>
      <c r="C277" s="4">
        <v>19</v>
      </c>
      <c r="D277" s="5">
        <v>55.96</v>
      </c>
      <c r="E277" s="5" t="s">
        <v>1</v>
      </c>
      <c r="F277" s="4">
        <v>22</v>
      </c>
      <c r="G277" s="4">
        <v>33</v>
      </c>
      <c r="H277" s="5">
        <v>33.799999999999997</v>
      </c>
      <c r="J277" s="6" t="str">
        <f t="shared" si="13"/>
        <v>+22</v>
      </c>
      <c r="K277" s="6" t="str">
        <f t="shared" si="14"/>
        <v>+33</v>
      </c>
      <c r="L277" s="6" t="str">
        <f t="shared" si="15"/>
        <v>+33,8</v>
      </c>
      <c r="N277" s="2">
        <v>22</v>
      </c>
      <c r="O277" s="2">
        <v>33</v>
      </c>
      <c r="P277" s="2">
        <v>33.799999999999997</v>
      </c>
    </row>
    <row r="278" spans="1:16" x14ac:dyDescent="0.25">
      <c r="A278" s="3" t="s">
        <v>290</v>
      </c>
      <c r="B278" s="4">
        <v>5</v>
      </c>
      <c r="C278" s="4">
        <v>21</v>
      </c>
      <c r="D278" s="5">
        <v>16.440000000000001</v>
      </c>
      <c r="E278" s="5" t="s">
        <v>1</v>
      </c>
      <c r="F278" s="4">
        <v>22</v>
      </c>
      <c r="G278" s="4">
        <v>36</v>
      </c>
      <c r="H278" s="5">
        <v>39.299999999999997</v>
      </c>
      <c r="J278" s="6" t="str">
        <f t="shared" si="13"/>
        <v>+22</v>
      </c>
      <c r="K278" s="6" t="str">
        <f t="shared" si="14"/>
        <v>+36</v>
      </c>
      <c r="L278" s="6" t="str">
        <f t="shared" si="15"/>
        <v>+39,3</v>
      </c>
      <c r="N278" s="2">
        <v>22</v>
      </c>
      <c r="O278" s="2">
        <v>36</v>
      </c>
      <c r="P278" s="2">
        <v>39.299999999999997</v>
      </c>
    </row>
    <row r="279" spans="1:16" x14ac:dyDescent="0.25">
      <c r="A279" s="3" t="s">
        <v>291</v>
      </c>
      <c r="B279" s="4">
        <v>5</v>
      </c>
      <c r="C279" s="4">
        <v>22</v>
      </c>
      <c r="D279" s="5">
        <v>34.549999999999997</v>
      </c>
      <c r="E279" s="5" t="s">
        <v>1</v>
      </c>
      <c r="F279" s="4">
        <v>22</v>
      </c>
      <c r="G279" s="4">
        <v>39</v>
      </c>
      <c r="H279" s="5">
        <v>41.9</v>
      </c>
      <c r="J279" s="6" t="str">
        <f t="shared" si="13"/>
        <v>+22</v>
      </c>
      <c r="K279" s="6" t="str">
        <f t="shared" si="14"/>
        <v>+39</v>
      </c>
      <c r="L279" s="6" t="str">
        <f t="shared" si="15"/>
        <v>+41,9</v>
      </c>
      <c r="N279" s="2">
        <v>22</v>
      </c>
      <c r="O279" s="2">
        <v>39</v>
      </c>
      <c r="P279" s="2">
        <v>41.9</v>
      </c>
    </row>
    <row r="280" spans="1:16" x14ac:dyDescent="0.25">
      <c r="A280" s="3" t="s">
        <v>292</v>
      </c>
      <c r="B280" s="4">
        <v>5</v>
      </c>
      <c r="C280" s="4">
        <v>23</v>
      </c>
      <c r="D280" s="5">
        <v>50.24</v>
      </c>
      <c r="E280" s="5" t="s">
        <v>1</v>
      </c>
      <c r="F280" s="4">
        <v>22</v>
      </c>
      <c r="G280" s="4">
        <v>42</v>
      </c>
      <c r="H280" s="5">
        <v>41.9</v>
      </c>
      <c r="J280" s="6" t="str">
        <f t="shared" si="13"/>
        <v>+22</v>
      </c>
      <c r="K280" s="6" t="str">
        <f t="shared" si="14"/>
        <v>+42</v>
      </c>
      <c r="L280" s="6" t="str">
        <f t="shared" si="15"/>
        <v>+41,9</v>
      </c>
      <c r="N280" s="2">
        <v>22</v>
      </c>
      <c r="O280" s="2">
        <v>42</v>
      </c>
      <c r="P280" s="2">
        <v>41.9</v>
      </c>
    </row>
    <row r="281" spans="1:16" x14ac:dyDescent="0.25">
      <c r="A281" s="3" t="s">
        <v>293</v>
      </c>
      <c r="B281" s="4">
        <v>5</v>
      </c>
      <c r="C281" s="4">
        <v>25</v>
      </c>
      <c r="D281" s="5">
        <v>3.46</v>
      </c>
      <c r="E281" s="5" t="s">
        <v>1</v>
      </c>
      <c r="F281" s="4">
        <v>22</v>
      </c>
      <c r="G281" s="4">
        <v>45</v>
      </c>
      <c r="H281" s="5">
        <v>39.6</v>
      </c>
      <c r="J281" s="6" t="str">
        <f t="shared" si="13"/>
        <v>+22</v>
      </c>
      <c r="K281" s="6" t="str">
        <f t="shared" si="14"/>
        <v>+45</v>
      </c>
      <c r="L281" s="6" t="str">
        <f t="shared" si="15"/>
        <v>+39,6</v>
      </c>
      <c r="N281" s="2">
        <v>22</v>
      </c>
      <c r="O281" s="2">
        <v>45</v>
      </c>
      <c r="P281" s="2">
        <v>39.6</v>
      </c>
    </row>
    <row r="282" spans="1:16" x14ac:dyDescent="0.25">
      <c r="A282" s="3" t="s">
        <v>294</v>
      </c>
      <c r="B282" s="4">
        <v>5</v>
      </c>
      <c r="C282" s="4">
        <v>26</v>
      </c>
      <c r="D282" s="5">
        <v>14.15</v>
      </c>
      <c r="E282" s="5" t="s">
        <v>1</v>
      </c>
      <c r="F282" s="4">
        <v>22</v>
      </c>
      <c r="G282" s="4">
        <v>48</v>
      </c>
      <c r="H282" s="5">
        <v>35</v>
      </c>
      <c r="J282" s="6" t="str">
        <f t="shared" si="13"/>
        <v>+22</v>
      </c>
      <c r="K282" s="6" t="str">
        <f t="shared" si="14"/>
        <v>+48</v>
      </c>
      <c r="L282" s="6" t="str">
        <f t="shared" si="15"/>
        <v>+35</v>
      </c>
      <c r="N282" s="2">
        <v>22</v>
      </c>
      <c r="O282" s="2">
        <v>48</v>
      </c>
      <c r="P282" s="2">
        <v>35</v>
      </c>
    </row>
    <row r="283" spans="1:16" x14ac:dyDescent="0.25">
      <c r="A283" s="3" t="s">
        <v>295</v>
      </c>
      <c r="B283" s="4">
        <v>5</v>
      </c>
      <c r="C283" s="4">
        <v>27</v>
      </c>
      <c r="D283" s="5">
        <v>22.26</v>
      </c>
      <c r="E283" s="5" t="s">
        <v>1</v>
      </c>
      <c r="F283" s="4">
        <v>22</v>
      </c>
      <c r="G283" s="4">
        <v>51</v>
      </c>
      <c r="H283" s="5">
        <v>28.4</v>
      </c>
      <c r="J283" s="6" t="str">
        <f t="shared" si="13"/>
        <v>+22</v>
      </c>
      <c r="K283" s="6" t="str">
        <f t="shared" si="14"/>
        <v>+51</v>
      </c>
      <c r="L283" s="6" t="str">
        <f t="shared" si="15"/>
        <v>+28,4</v>
      </c>
      <c r="N283" s="2">
        <v>22</v>
      </c>
      <c r="O283" s="2">
        <v>51</v>
      </c>
      <c r="P283" s="2">
        <v>28.4</v>
      </c>
    </row>
    <row r="284" spans="1:16" x14ac:dyDescent="0.25">
      <c r="A284" s="3" t="s">
        <v>296</v>
      </c>
      <c r="B284" s="4">
        <v>5</v>
      </c>
      <c r="C284" s="4">
        <v>28</v>
      </c>
      <c r="D284" s="5">
        <v>27.72</v>
      </c>
      <c r="E284" s="5" t="s">
        <v>1</v>
      </c>
      <c r="F284" s="4">
        <v>22</v>
      </c>
      <c r="G284" s="4">
        <v>54</v>
      </c>
      <c r="H284" s="5">
        <v>19.899999999999999</v>
      </c>
      <c r="J284" s="6" t="str">
        <f t="shared" si="13"/>
        <v>+22</v>
      </c>
      <c r="K284" s="6" t="str">
        <f t="shared" si="14"/>
        <v>+54</v>
      </c>
      <c r="L284" s="6" t="str">
        <f t="shared" si="15"/>
        <v>+19,9</v>
      </c>
      <c r="N284" s="2">
        <v>22</v>
      </c>
      <c r="O284" s="2">
        <v>54</v>
      </c>
      <c r="P284" s="2">
        <v>19.899999999999999</v>
      </c>
    </row>
    <row r="285" spans="1:16" x14ac:dyDescent="0.25">
      <c r="A285" s="3" t="s">
        <v>297</v>
      </c>
      <c r="B285" s="4">
        <v>5</v>
      </c>
      <c r="C285" s="4">
        <v>29</v>
      </c>
      <c r="D285" s="5">
        <v>30.47</v>
      </c>
      <c r="E285" s="5" t="s">
        <v>1</v>
      </c>
      <c r="F285" s="4">
        <v>22</v>
      </c>
      <c r="G285" s="4">
        <v>57</v>
      </c>
      <c r="H285" s="5">
        <v>9.8000000000000007</v>
      </c>
      <c r="J285" s="6" t="str">
        <f t="shared" si="13"/>
        <v>+22</v>
      </c>
      <c r="K285" s="6" t="str">
        <f t="shared" si="14"/>
        <v>+57</v>
      </c>
      <c r="L285" s="6" t="str">
        <f t="shared" si="15"/>
        <v>+9,8</v>
      </c>
      <c r="N285" s="2">
        <v>22</v>
      </c>
      <c r="O285" s="2">
        <v>57</v>
      </c>
      <c r="P285" s="2">
        <v>9.8000000000000007</v>
      </c>
    </row>
    <row r="286" spans="1:16" x14ac:dyDescent="0.25">
      <c r="A286" s="3" t="s">
        <v>298</v>
      </c>
      <c r="B286" s="4">
        <v>5</v>
      </c>
      <c r="C286" s="4">
        <v>30</v>
      </c>
      <c r="D286" s="5">
        <v>30.46</v>
      </c>
      <c r="E286" s="5" t="s">
        <v>1</v>
      </c>
      <c r="F286" s="4">
        <v>22</v>
      </c>
      <c r="G286" s="4">
        <v>59</v>
      </c>
      <c r="H286" s="5">
        <v>58.2</v>
      </c>
      <c r="J286" s="6" t="str">
        <f t="shared" si="13"/>
        <v>+22</v>
      </c>
      <c r="K286" s="6" t="str">
        <f t="shared" si="14"/>
        <v>+59</v>
      </c>
      <c r="L286" s="6" t="str">
        <f t="shared" si="15"/>
        <v>+58,2</v>
      </c>
      <c r="N286" s="2">
        <v>22</v>
      </c>
      <c r="O286" s="2">
        <v>59</v>
      </c>
      <c r="P286" s="2">
        <v>58.2</v>
      </c>
    </row>
    <row r="287" spans="1:16" x14ac:dyDescent="0.25">
      <c r="A287" s="3" t="s">
        <v>299</v>
      </c>
      <c r="B287" s="4">
        <v>5</v>
      </c>
      <c r="C287" s="4">
        <v>31</v>
      </c>
      <c r="D287" s="5">
        <v>27.61</v>
      </c>
      <c r="E287" s="5" t="s">
        <v>1</v>
      </c>
      <c r="F287" s="4">
        <v>23</v>
      </c>
      <c r="G287" s="4">
        <v>2</v>
      </c>
      <c r="H287" s="5">
        <v>45.3</v>
      </c>
      <c r="J287" s="6" t="str">
        <f t="shared" si="13"/>
        <v>+23</v>
      </c>
      <c r="K287" s="6" t="str">
        <f t="shared" si="14"/>
        <v>+2</v>
      </c>
      <c r="L287" s="6" t="str">
        <f t="shared" si="15"/>
        <v>+45,3</v>
      </c>
      <c r="N287" s="2">
        <v>23</v>
      </c>
      <c r="O287" s="2">
        <v>2</v>
      </c>
      <c r="P287" s="2">
        <v>45.3</v>
      </c>
    </row>
    <row r="288" spans="1:16" x14ac:dyDescent="0.25">
      <c r="A288" s="3" t="s">
        <v>300</v>
      </c>
      <c r="B288" s="4">
        <v>5</v>
      </c>
      <c r="C288" s="4">
        <v>32</v>
      </c>
      <c r="D288" s="5">
        <v>21.87</v>
      </c>
      <c r="E288" s="5" t="s">
        <v>1</v>
      </c>
      <c r="F288" s="4">
        <v>23</v>
      </c>
      <c r="G288" s="4">
        <v>5</v>
      </c>
      <c r="H288" s="5">
        <v>31.2</v>
      </c>
      <c r="J288" s="6" t="str">
        <f t="shared" si="13"/>
        <v>+23</v>
      </c>
      <c r="K288" s="6" t="str">
        <f t="shared" si="14"/>
        <v>+5</v>
      </c>
      <c r="L288" s="6" t="str">
        <f t="shared" si="15"/>
        <v>+31,2</v>
      </c>
      <c r="N288" s="2">
        <v>23</v>
      </c>
      <c r="O288" s="2">
        <v>5</v>
      </c>
      <c r="P288" s="2">
        <v>31.2</v>
      </c>
    </row>
    <row r="289" spans="1:16" x14ac:dyDescent="0.25">
      <c r="A289" s="3" t="s">
        <v>301</v>
      </c>
      <c r="B289" s="4">
        <v>5</v>
      </c>
      <c r="C289" s="4">
        <v>33</v>
      </c>
      <c r="D289" s="5">
        <v>13.16</v>
      </c>
      <c r="E289" s="5" t="s">
        <v>1</v>
      </c>
      <c r="F289" s="4">
        <v>23</v>
      </c>
      <c r="G289" s="4">
        <v>8</v>
      </c>
      <c r="H289" s="5">
        <v>16.2</v>
      </c>
      <c r="J289" s="6" t="str">
        <f t="shared" si="13"/>
        <v>+23</v>
      </c>
      <c r="K289" s="6" t="str">
        <f t="shared" si="14"/>
        <v>+8</v>
      </c>
      <c r="L289" s="6" t="str">
        <f t="shared" si="15"/>
        <v>+16,2</v>
      </c>
      <c r="N289" s="2">
        <v>23</v>
      </c>
      <c r="O289" s="2">
        <v>8</v>
      </c>
      <c r="P289" s="2">
        <v>16.2</v>
      </c>
    </row>
    <row r="290" spans="1:16" x14ac:dyDescent="0.25">
      <c r="A290" s="3" t="s">
        <v>302</v>
      </c>
      <c r="B290" s="4">
        <v>5</v>
      </c>
      <c r="C290" s="4">
        <v>34</v>
      </c>
      <c r="D290" s="5">
        <v>1.42</v>
      </c>
      <c r="E290" s="5" t="s">
        <v>1</v>
      </c>
      <c r="F290" s="4">
        <v>23</v>
      </c>
      <c r="G290" s="4">
        <v>11</v>
      </c>
      <c r="H290" s="5">
        <v>0.3</v>
      </c>
      <c r="J290" s="6" t="str">
        <f t="shared" si="13"/>
        <v>+23</v>
      </c>
      <c r="K290" s="6" t="str">
        <f t="shared" si="14"/>
        <v>+11</v>
      </c>
      <c r="L290" s="6" t="str">
        <f t="shared" si="15"/>
        <v>+0,3</v>
      </c>
      <c r="N290" s="2">
        <v>23</v>
      </c>
      <c r="O290" s="2">
        <v>11</v>
      </c>
      <c r="P290" s="2">
        <v>0.3</v>
      </c>
    </row>
    <row r="291" spans="1:16" x14ac:dyDescent="0.25">
      <c r="A291" s="3" t="s">
        <v>303</v>
      </c>
      <c r="B291" s="4">
        <v>5</v>
      </c>
      <c r="C291" s="4">
        <v>34</v>
      </c>
      <c r="D291" s="5">
        <v>46.59</v>
      </c>
      <c r="E291" s="5" t="s">
        <v>1</v>
      </c>
      <c r="F291" s="4">
        <v>23</v>
      </c>
      <c r="G291" s="4">
        <v>13</v>
      </c>
      <c r="H291" s="5">
        <v>43.7</v>
      </c>
      <c r="J291" s="6" t="str">
        <f t="shared" si="13"/>
        <v>+23</v>
      </c>
      <c r="K291" s="6" t="str">
        <f t="shared" si="14"/>
        <v>+13</v>
      </c>
      <c r="L291" s="6" t="str">
        <f t="shared" si="15"/>
        <v>+43,7</v>
      </c>
      <c r="N291" s="2">
        <v>23</v>
      </c>
      <c r="O291" s="2">
        <v>13</v>
      </c>
      <c r="P291" s="2">
        <v>43.7</v>
      </c>
    </row>
    <row r="292" spans="1:16" x14ac:dyDescent="0.25">
      <c r="A292" s="3" t="s">
        <v>304</v>
      </c>
      <c r="B292" s="4">
        <v>5</v>
      </c>
      <c r="C292" s="4">
        <v>35</v>
      </c>
      <c r="D292" s="5">
        <v>28.6</v>
      </c>
      <c r="E292" s="5" t="s">
        <v>1</v>
      </c>
      <c r="F292" s="4">
        <v>23</v>
      </c>
      <c r="G292" s="4">
        <v>16</v>
      </c>
      <c r="H292" s="5">
        <v>26.5</v>
      </c>
      <c r="J292" s="6" t="str">
        <f t="shared" si="13"/>
        <v>+23</v>
      </c>
      <c r="K292" s="6" t="str">
        <f t="shared" si="14"/>
        <v>+16</v>
      </c>
      <c r="L292" s="6" t="str">
        <f t="shared" si="15"/>
        <v>+26,5</v>
      </c>
      <c r="N292" s="2">
        <v>23</v>
      </c>
      <c r="O292" s="2">
        <v>16</v>
      </c>
      <c r="P292" s="2">
        <v>26.5</v>
      </c>
    </row>
    <row r="293" spans="1:16" x14ac:dyDescent="0.25">
      <c r="A293" s="3" t="s">
        <v>305</v>
      </c>
      <c r="B293" s="4">
        <v>5</v>
      </c>
      <c r="C293" s="4">
        <v>36</v>
      </c>
      <c r="D293" s="5">
        <v>7.38</v>
      </c>
      <c r="E293" s="5" t="s">
        <v>1</v>
      </c>
      <c r="F293" s="4">
        <v>23</v>
      </c>
      <c r="G293" s="4">
        <v>19</v>
      </c>
      <c r="H293" s="5">
        <v>9</v>
      </c>
      <c r="J293" s="6" t="str">
        <f t="shared" si="13"/>
        <v>+23</v>
      </c>
      <c r="K293" s="6" t="str">
        <f t="shared" si="14"/>
        <v>+19</v>
      </c>
      <c r="L293" s="6" t="str">
        <f t="shared" si="15"/>
        <v>+9</v>
      </c>
      <c r="N293" s="2">
        <v>23</v>
      </c>
      <c r="O293" s="2">
        <v>19</v>
      </c>
      <c r="P293" s="2">
        <v>9</v>
      </c>
    </row>
    <row r="294" spans="1:16" x14ac:dyDescent="0.25">
      <c r="A294" s="3" t="s">
        <v>306</v>
      </c>
      <c r="B294" s="4">
        <v>5</v>
      </c>
      <c r="C294" s="4">
        <v>36</v>
      </c>
      <c r="D294" s="5">
        <v>42.88</v>
      </c>
      <c r="E294" s="5" t="s">
        <v>1</v>
      </c>
      <c r="F294" s="4">
        <v>23</v>
      </c>
      <c r="G294" s="4">
        <v>21</v>
      </c>
      <c r="H294" s="5">
        <v>51.1</v>
      </c>
      <c r="J294" s="6" t="str">
        <f t="shared" si="13"/>
        <v>+23</v>
      </c>
      <c r="K294" s="6" t="str">
        <f t="shared" si="14"/>
        <v>+21</v>
      </c>
      <c r="L294" s="6" t="str">
        <f t="shared" si="15"/>
        <v>+51,1</v>
      </c>
      <c r="N294" s="2">
        <v>23</v>
      </c>
      <c r="O294" s="2">
        <v>21</v>
      </c>
      <c r="P294" s="2">
        <v>51.1</v>
      </c>
    </row>
    <row r="295" spans="1:16" x14ac:dyDescent="0.25">
      <c r="A295" s="3" t="s">
        <v>307</v>
      </c>
      <c r="B295" s="4">
        <v>5</v>
      </c>
      <c r="C295" s="4">
        <v>37</v>
      </c>
      <c r="D295" s="5">
        <v>15.03</v>
      </c>
      <c r="E295" s="5" t="s">
        <v>1</v>
      </c>
      <c r="F295" s="4">
        <v>23</v>
      </c>
      <c r="G295" s="4">
        <v>24</v>
      </c>
      <c r="H295" s="5">
        <v>33.1</v>
      </c>
      <c r="J295" s="6" t="str">
        <f t="shared" si="13"/>
        <v>+23</v>
      </c>
      <c r="K295" s="6" t="str">
        <f t="shared" si="14"/>
        <v>+24</v>
      </c>
      <c r="L295" s="6" t="str">
        <f t="shared" si="15"/>
        <v>+33,1</v>
      </c>
      <c r="N295" s="2">
        <v>23</v>
      </c>
      <c r="O295" s="2">
        <v>24</v>
      </c>
      <c r="P295" s="2">
        <v>33.1</v>
      </c>
    </row>
    <row r="296" spans="1:16" x14ac:dyDescent="0.25">
      <c r="A296" s="3" t="s">
        <v>308</v>
      </c>
      <c r="B296" s="4">
        <v>5</v>
      </c>
      <c r="C296" s="4">
        <v>37</v>
      </c>
      <c r="D296" s="5">
        <v>43.78</v>
      </c>
      <c r="E296" s="5" t="s">
        <v>1</v>
      </c>
      <c r="F296" s="4">
        <v>23</v>
      </c>
      <c r="G296" s="4">
        <v>27</v>
      </c>
      <c r="H296" s="5">
        <v>15</v>
      </c>
      <c r="J296" s="6" t="str">
        <f t="shared" si="13"/>
        <v>+23</v>
      </c>
      <c r="K296" s="6" t="str">
        <f t="shared" si="14"/>
        <v>+27</v>
      </c>
      <c r="L296" s="6" t="str">
        <f t="shared" si="15"/>
        <v>+15</v>
      </c>
      <c r="N296" s="2">
        <v>23</v>
      </c>
      <c r="O296" s="2">
        <v>27</v>
      </c>
      <c r="P296" s="2">
        <v>15</v>
      </c>
    </row>
    <row r="297" spans="1:16" x14ac:dyDescent="0.25">
      <c r="A297" s="3" t="s">
        <v>309</v>
      </c>
      <c r="B297" s="4">
        <v>5</v>
      </c>
      <c r="C297" s="4">
        <v>38</v>
      </c>
      <c r="D297" s="5">
        <v>9.06</v>
      </c>
      <c r="E297" s="5" t="s">
        <v>1</v>
      </c>
      <c r="F297" s="4">
        <v>23</v>
      </c>
      <c r="G297" s="4">
        <v>29</v>
      </c>
      <c r="H297" s="5">
        <v>56.9</v>
      </c>
      <c r="J297" s="6" t="str">
        <f t="shared" si="13"/>
        <v>+23</v>
      </c>
      <c r="K297" s="6" t="str">
        <f t="shared" si="14"/>
        <v>+29</v>
      </c>
      <c r="L297" s="6" t="str">
        <f t="shared" si="15"/>
        <v>+56,9</v>
      </c>
      <c r="N297" s="2">
        <v>23</v>
      </c>
      <c r="O297" s="2">
        <v>29</v>
      </c>
      <c r="P297" s="2">
        <v>56.9</v>
      </c>
    </row>
    <row r="298" spans="1:16" x14ac:dyDescent="0.25">
      <c r="A298" s="3" t="s">
        <v>310</v>
      </c>
      <c r="B298" s="4">
        <v>5</v>
      </c>
      <c r="C298" s="4">
        <v>38</v>
      </c>
      <c r="D298" s="5">
        <v>30.82</v>
      </c>
      <c r="E298" s="5" t="s">
        <v>1</v>
      </c>
      <c r="F298" s="4">
        <v>23</v>
      </c>
      <c r="G298" s="4">
        <v>32</v>
      </c>
      <c r="H298" s="5">
        <v>38.9</v>
      </c>
      <c r="J298" s="6" t="str">
        <f t="shared" si="13"/>
        <v>+23</v>
      </c>
      <c r="K298" s="6" t="str">
        <f t="shared" si="14"/>
        <v>+32</v>
      </c>
      <c r="L298" s="6" t="str">
        <f t="shared" si="15"/>
        <v>+38,9</v>
      </c>
      <c r="N298" s="2">
        <v>23</v>
      </c>
      <c r="O298" s="2">
        <v>32</v>
      </c>
      <c r="P298" s="2">
        <v>38.9</v>
      </c>
    </row>
    <row r="299" spans="1:16" x14ac:dyDescent="0.25">
      <c r="A299" s="3" t="s">
        <v>311</v>
      </c>
      <c r="B299" s="4">
        <v>5</v>
      </c>
      <c r="C299" s="4">
        <v>38</v>
      </c>
      <c r="D299" s="5">
        <v>49.02</v>
      </c>
      <c r="E299" s="5" t="s">
        <v>1</v>
      </c>
      <c r="F299" s="4">
        <v>23</v>
      </c>
      <c r="G299" s="4">
        <v>35</v>
      </c>
      <c r="H299" s="5">
        <v>21</v>
      </c>
      <c r="J299" s="6" t="str">
        <f t="shared" si="13"/>
        <v>+23</v>
      </c>
      <c r="K299" s="6" t="str">
        <f t="shared" si="14"/>
        <v>+35</v>
      </c>
      <c r="L299" s="6" t="str">
        <f t="shared" si="15"/>
        <v>+21</v>
      </c>
      <c r="N299" s="2">
        <v>23</v>
      </c>
      <c r="O299" s="2">
        <v>35</v>
      </c>
      <c r="P299" s="2">
        <v>21</v>
      </c>
    </row>
    <row r="300" spans="1:16" x14ac:dyDescent="0.25">
      <c r="A300" s="3" t="s">
        <v>312</v>
      </c>
      <c r="B300" s="4">
        <v>5</v>
      </c>
      <c r="C300" s="4">
        <v>39</v>
      </c>
      <c r="D300" s="5">
        <v>3.6</v>
      </c>
      <c r="E300" s="5" t="s">
        <v>1</v>
      </c>
      <c r="F300" s="4">
        <v>23</v>
      </c>
      <c r="G300" s="4">
        <v>38</v>
      </c>
      <c r="H300" s="5">
        <v>3.4</v>
      </c>
      <c r="J300" s="6" t="str">
        <f t="shared" si="13"/>
        <v>+23</v>
      </c>
      <c r="K300" s="6" t="str">
        <f t="shared" si="14"/>
        <v>+38</v>
      </c>
      <c r="L300" s="6" t="str">
        <f t="shared" si="15"/>
        <v>+3,4</v>
      </c>
      <c r="N300" s="2">
        <v>23</v>
      </c>
      <c r="O300" s="2">
        <v>38</v>
      </c>
      <c r="P300" s="2">
        <v>3.4</v>
      </c>
    </row>
    <row r="301" spans="1:16" x14ac:dyDescent="0.25">
      <c r="A301" s="3" t="s">
        <v>313</v>
      </c>
      <c r="B301" s="4">
        <v>5</v>
      </c>
      <c r="C301" s="4">
        <v>39</v>
      </c>
      <c r="D301" s="5">
        <v>14.53</v>
      </c>
      <c r="E301" s="5" t="s">
        <v>1</v>
      </c>
      <c r="F301" s="4">
        <v>23</v>
      </c>
      <c r="G301" s="4">
        <v>40</v>
      </c>
      <c r="H301" s="5">
        <v>46</v>
      </c>
      <c r="J301" s="6" t="str">
        <f t="shared" si="13"/>
        <v>+23</v>
      </c>
      <c r="K301" s="6" t="str">
        <f t="shared" si="14"/>
        <v>+40</v>
      </c>
      <c r="L301" s="6" t="str">
        <f t="shared" si="15"/>
        <v>+46</v>
      </c>
      <c r="N301" s="2">
        <v>23</v>
      </c>
      <c r="O301" s="2">
        <v>40</v>
      </c>
      <c r="P301" s="2">
        <v>46</v>
      </c>
    </row>
    <row r="302" spans="1:16" x14ac:dyDescent="0.25">
      <c r="A302" s="3" t="s">
        <v>314</v>
      </c>
      <c r="B302" s="4">
        <v>5</v>
      </c>
      <c r="C302" s="4">
        <v>39</v>
      </c>
      <c r="D302" s="5">
        <v>21.76</v>
      </c>
      <c r="E302" s="5" t="s">
        <v>1</v>
      </c>
      <c r="F302" s="4">
        <v>23</v>
      </c>
      <c r="G302" s="4">
        <v>43</v>
      </c>
      <c r="H302" s="5">
        <v>28.9</v>
      </c>
      <c r="J302" s="6" t="str">
        <f t="shared" si="13"/>
        <v>+23</v>
      </c>
      <c r="K302" s="6" t="str">
        <f t="shared" si="14"/>
        <v>+43</v>
      </c>
      <c r="L302" s="6" t="str">
        <f t="shared" si="15"/>
        <v>+28,9</v>
      </c>
      <c r="N302" s="2">
        <v>23</v>
      </c>
      <c r="O302" s="2">
        <v>43</v>
      </c>
      <c r="P302" s="2">
        <v>28.9</v>
      </c>
    </row>
    <row r="303" spans="1:16" x14ac:dyDescent="0.25">
      <c r="A303" s="3" t="s">
        <v>315</v>
      </c>
      <c r="B303" s="4">
        <v>5</v>
      </c>
      <c r="C303" s="4">
        <v>39</v>
      </c>
      <c r="D303" s="5">
        <v>25.27</v>
      </c>
      <c r="E303" s="5" t="s">
        <v>1</v>
      </c>
      <c r="F303" s="4">
        <v>23</v>
      </c>
      <c r="G303" s="4">
        <v>46</v>
      </c>
      <c r="H303" s="5">
        <v>12</v>
      </c>
      <c r="J303" s="6" t="str">
        <f t="shared" si="13"/>
        <v>+23</v>
      </c>
      <c r="K303" s="6" t="str">
        <f t="shared" si="14"/>
        <v>+46</v>
      </c>
      <c r="L303" s="6" t="str">
        <f t="shared" si="15"/>
        <v>+12</v>
      </c>
      <c r="N303" s="2">
        <v>23</v>
      </c>
      <c r="O303" s="2">
        <v>46</v>
      </c>
      <c r="P303" s="2">
        <v>12</v>
      </c>
    </row>
    <row r="304" spans="1:16" x14ac:dyDescent="0.25">
      <c r="A304" s="3" t="s">
        <v>316</v>
      </c>
      <c r="B304" s="4">
        <v>5</v>
      </c>
      <c r="C304" s="4">
        <v>39</v>
      </c>
      <c r="D304" s="5">
        <v>25.03</v>
      </c>
      <c r="E304" s="5" t="s">
        <v>1</v>
      </c>
      <c r="F304" s="4">
        <v>23</v>
      </c>
      <c r="G304" s="4">
        <v>48</v>
      </c>
      <c r="H304" s="5">
        <v>55.4</v>
      </c>
      <c r="J304" s="6" t="str">
        <f t="shared" si="13"/>
        <v>+23</v>
      </c>
      <c r="K304" s="6" t="str">
        <f t="shared" si="14"/>
        <v>+48</v>
      </c>
      <c r="L304" s="6" t="str">
        <f t="shared" si="15"/>
        <v>+55,4</v>
      </c>
      <c r="N304" s="2">
        <v>23</v>
      </c>
      <c r="O304" s="2">
        <v>48</v>
      </c>
      <c r="P304" s="2">
        <v>55.4</v>
      </c>
    </row>
    <row r="305" spans="1:16" x14ac:dyDescent="0.25">
      <c r="A305" s="3" t="s">
        <v>317</v>
      </c>
      <c r="B305" s="4">
        <v>5</v>
      </c>
      <c r="C305" s="4">
        <v>39</v>
      </c>
      <c r="D305" s="5">
        <v>21.01</v>
      </c>
      <c r="E305" s="5" t="s">
        <v>1</v>
      </c>
      <c r="F305" s="4">
        <v>23</v>
      </c>
      <c r="G305" s="4">
        <v>51</v>
      </c>
      <c r="H305" s="5">
        <v>39</v>
      </c>
      <c r="J305" s="6" t="str">
        <f t="shared" si="13"/>
        <v>+23</v>
      </c>
      <c r="K305" s="6" t="str">
        <f t="shared" si="14"/>
        <v>+51</v>
      </c>
      <c r="L305" s="6" t="str">
        <f t="shared" si="15"/>
        <v>+39</v>
      </c>
      <c r="N305" s="2">
        <v>23</v>
      </c>
      <c r="O305" s="2">
        <v>51</v>
      </c>
      <c r="P305" s="2">
        <v>39</v>
      </c>
    </row>
    <row r="306" spans="1:16" x14ac:dyDescent="0.25">
      <c r="A306" s="3" t="s">
        <v>318</v>
      </c>
      <c r="B306" s="4">
        <v>5</v>
      </c>
      <c r="C306" s="4">
        <v>39</v>
      </c>
      <c r="D306" s="5">
        <v>13.19</v>
      </c>
      <c r="E306" s="5" t="s">
        <v>1</v>
      </c>
      <c r="F306" s="4">
        <v>23</v>
      </c>
      <c r="G306" s="4">
        <v>54</v>
      </c>
      <c r="H306" s="5">
        <v>22.7</v>
      </c>
      <c r="J306" s="6" t="str">
        <f t="shared" si="13"/>
        <v>+23</v>
      </c>
      <c r="K306" s="6" t="str">
        <f t="shared" si="14"/>
        <v>+54</v>
      </c>
      <c r="L306" s="6" t="str">
        <f t="shared" si="15"/>
        <v>+22,7</v>
      </c>
      <c r="N306" s="2">
        <v>23</v>
      </c>
      <c r="O306" s="2">
        <v>54</v>
      </c>
      <c r="P306" s="2">
        <v>22.7</v>
      </c>
    </row>
    <row r="307" spans="1:16" x14ac:dyDescent="0.25">
      <c r="A307" s="3" t="s">
        <v>319</v>
      </c>
      <c r="B307" s="4">
        <v>5</v>
      </c>
      <c r="C307" s="4">
        <v>39</v>
      </c>
      <c r="D307" s="5">
        <v>1.55</v>
      </c>
      <c r="E307" s="5" t="s">
        <v>1</v>
      </c>
      <c r="F307" s="4">
        <v>23</v>
      </c>
      <c r="G307" s="4">
        <v>57</v>
      </c>
      <c r="H307" s="5">
        <v>6.4</v>
      </c>
      <c r="J307" s="6" t="str">
        <f t="shared" si="13"/>
        <v>+23</v>
      </c>
      <c r="K307" s="6" t="str">
        <f t="shared" si="14"/>
        <v>+57</v>
      </c>
      <c r="L307" s="6" t="str">
        <f t="shared" si="15"/>
        <v>+6,4</v>
      </c>
      <c r="N307" s="2">
        <v>23</v>
      </c>
      <c r="O307" s="2">
        <v>57</v>
      </c>
      <c r="P307" s="2">
        <v>6.4</v>
      </c>
    </row>
    <row r="308" spans="1:16" x14ac:dyDescent="0.25">
      <c r="A308" s="3" t="s">
        <v>320</v>
      </c>
      <c r="B308" s="4">
        <v>5</v>
      </c>
      <c r="C308" s="4">
        <v>38</v>
      </c>
      <c r="D308" s="5">
        <v>46.08</v>
      </c>
      <c r="E308" s="5" t="s">
        <v>1</v>
      </c>
      <c r="F308" s="4">
        <v>23</v>
      </c>
      <c r="G308" s="4">
        <v>59</v>
      </c>
      <c r="H308" s="5">
        <v>50.1</v>
      </c>
      <c r="J308" s="6" t="str">
        <f t="shared" si="13"/>
        <v>+23</v>
      </c>
      <c r="K308" s="6" t="str">
        <f t="shared" si="14"/>
        <v>+59</v>
      </c>
      <c r="L308" s="6" t="str">
        <f t="shared" si="15"/>
        <v>+50,1</v>
      </c>
      <c r="N308" s="2">
        <v>23</v>
      </c>
      <c r="O308" s="2">
        <v>59</v>
      </c>
      <c r="P308" s="2">
        <v>50.1</v>
      </c>
    </row>
    <row r="309" spans="1:16" x14ac:dyDescent="0.25">
      <c r="A309" s="3" t="s">
        <v>321</v>
      </c>
      <c r="B309" s="4">
        <v>5</v>
      </c>
      <c r="C309" s="4">
        <v>38</v>
      </c>
      <c r="D309" s="5">
        <v>26.75</v>
      </c>
      <c r="E309" s="5" t="s">
        <v>1</v>
      </c>
      <c r="F309" s="4">
        <v>24</v>
      </c>
      <c r="G309" s="4">
        <v>2</v>
      </c>
      <c r="H309" s="5">
        <v>33.4</v>
      </c>
      <c r="J309" s="6" t="str">
        <f t="shared" si="13"/>
        <v>+24</v>
      </c>
      <c r="K309" s="6" t="str">
        <f t="shared" si="14"/>
        <v>+2</v>
      </c>
      <c r="L309" s="6" t="str">
        <f t="shared" si="15"/>
        <v>+33,4</v>
      </c>
      <c r="N309" s="2">
        <v>24</v>
      </c>
      <c r="O309" s="2">
        <v>2</v>
      </c>
      <c r="P309" s="2">
        <v>33.4</v>
      </c>
    </row>
    <row r="310" spans="1:16" x14ac:dyDescent="0.25">
      <c r="A310" s="3" t="s">
        <v>322</v>
      </c>
      <c r="B310" s="4">
        <v>5</v>
      </c>
      <c r="C310" s="4">
        <v>38</v>
      </c>
      <c r="D310" s="5">
        <v>3.57</v>
      </c>
      <c r="E310" s="5" t="s">
        <v>1</v>
      </c>
      <c r="F310" s="4">
        <v>24</v>
      </c>
      <c r="G310" s="4">
        <v>5</v>
      </c>
      <c r="H310" s="5">
        <v>16.3</v>
      </c>
      <c r="J310" s="6" t="str">
        <f t="shared" si="13"/>
        <v>+24</v>
      </c>
      <c r="K310" s="6" t="str">
        <f t="shared" si="14"/>
        <v>+5</v>
      </c>
      <c r="L310" s="6" t="str">
        <f t="shared" si="15"/>
        <v>+16,3</v>
      </c>
      <c r="N310" s="2">
        <v>24</v>
      </c>
      <c r="O310" s="2">
        <v>5</v>
      </c>
      <c r="P310" s="2">
        <v>16.3</v>
      </c>
    </row>
    <row r="311" spans="1:16" x14ac:dyDescent="0.25">
      <c r="A311" s="3" t="s">
        <v>323</v>
      </c>
      <c r="B311" s="4">
        <v>5</v>
      </c>
      <c r="C311" s="4">
        <v>37</v>
      </c>
      <c r="D311" s="5">
        <v>36.520000000000003</v>
      </c>
      <c r="E311" s="5" t="s">
        <v>1</v>
      </c>
      <c r="F311" s="4">
        <v>24</v>
      </c>
      <c r="G311" s="4">
        <v>7</v>
      </c>
      <c r="H311" s="5">
        <v>58.6</v>
      </c>
      <c r="J311" s="6" t="str">
        <f t="shared" si="13"/>
        <v>+24</v>
      </c>
      <c r="K311" s="6" t="str">
        <f t="shared" si="14"/>
        <v>+7</v>
      </c>
      <c r="L311" s="6" t="str">
        <f t="shared" si="15"/>
        <v>+58,6</v>
      </c>
      <c r="N311" s="2">
        <v>24</v>
      </c>
      <c r="O311" s="2">
        <v>7</v>
      </c>
      <c r="P311" s="2">
        <v>58.6</v>
      </c>
    </row>
    <row r="312" spans="1:16" x14ac:dyDescent="0.25">
      <c r="A312" s="3" t="s">
        <v>324</v>
      </c>
      <c r="B312" s="4">
        <v>5</v>
      </c>
      <c r="C312" s="4">
        <v>37</v>
      </c>
      <c r="D312" s="5">
        <v>5.59</v>
      </c>
      <c r="E312" s="5" t="s">
        <v>1</v>
      </c>
      <c r="F312" s="4">
        <v>24</v>
      </c>
      <c r="G312" s="4">
        <v>10</v>
      </c>
      <c r="H312" s="5">
        <v>40</v>
      </c>
      <c r="J312" s="6" t="str">
        <f t="shared" si="13"/>
        <v>+24</v>
      </c>
      <c r="K312" s="6" t="str">
        <f t="shared" si="14"/>
        <v>+10</v>
      </c>
      <c r="L312" s="6" t="str">
        <f t="shared" si="15"/>
        <v>+40</v>
      </c>
      <c r="N312" s="2">
        <v>24</v>
      </c>
      <c r="O312" s="2">
        <v>10</v>
      </c>
      <c r="P312" s="2">
        <v>40</v>
      </c>
    </row>
    <row r="313" spans="1:16" x14ac:dyDescent="0.25">
      <c r="A313" s="3" t="s">
        <v>325</v>
      </c>
      <c r="B313" s="4">
        <v>5</v>
      </c>
      <c r="C313" s="4">
        <v>36</v>
      </c>
      <c r="D313" s="5">
        <v>30.8</v>
      </c>
      <c r="E313" s="5" t="s">
        <v>1</v>
      </c>
      <c r="F313" s="4">
        <v>24</v>
      </c>
      <c r="G313" s="4">
        <v>13</v>
      </c>
      <c r="H313" s="5">
        <v>20.3</v>
      </c>
      <c r="J313" s="6" t="str">
        <f t="shared" si="13"/>
        <v>+24</v>
      </c>
      <c r="K313" s="6" t="str">
        <f t="shared" si="14"/>
        <v>+13</v>
      </c>
      <c r="L313" s="6" t="str">
        <f t="shared" si="15"/>
        <v>+20,3</v>
      </c>
      <c r="N313" s="2">
        <v>24</v>
      </c>
      <c r="O313" s="2">
        <v>13</v>
      </c>
      <c r="P313" s="2">
        <v>20.3</v>
      </c>
    </row>
    <row r="314" spans="1:16" x14ac:dyDescent="0.25">
      <c r="A314" s="3" t="s">
        <v>326</v>
      </c>
      <c r="B314" s="4">
        <v>5</v>
      </c>
      <c r="C314" s="4">
        <v>35</v>
      </c>
      <c r="D314" s="5">
        <v>52.16</v>
      </c>
      <c r="E314" s="5" t="s">
        <v>1</v>
      </c>
      <c r="F314" s="4">
        <v>24</v>
      </c>
      <c r="G314" s="4">
        <v>15</v>
      </c>
      <c r="H314" s="5">
        <v>59.2</v>
      </c>
      <c r="J314" s="6" t="str">
        <f t="shared" si="13"/>
        <v>+24</v>
      </c>
      <c r="K314" s="6" t="str">
        <f t="shared" si="14"/>
        <v>+15</v>
      </c>
      <c r="L314" s="6" t="str">
        <f t="shared" si="15"/>
        <v>+59,2</v>
      </c>
      <c r="N314" s="2">
        <v>24</v>
      </c>
      <c r="O314" s="2">
        <v>15</v>
      </c>
      <c r="P314" s="2">
        <v>59.2</v>
      </c>
    </row>
    <row r="315" spans="1:16" x14ac:dyDescent="0.25">
      <c r="A315" s="3" t="s">
        <v>327</v>
      </c>
      <c r="B315" s="4">
        <v>5</v>
      </c>
      <c r="C315" s="4">
        <v>35</v>
      </c>
      <c r="D315" s="5">
        <v>9.66</v>
      </c>
      <c r="E315" s="5" t="s">
        <v>1</v>
      </c>
      <c r="F315" s="4">
        <v>24</v>
      </c>
      <c r="G315" s="4">
        <v>18</v>
      </c>
      <c r="H315" s="5">
        <v>36.299999999999997</v>
      </c>
      <c r="J315" s="6" t="str">
        <f t="shared" si="13"/>
        <v>+24</v>
      </c>
      <c r="K315" s="6" t="str">
        <f t="shared" si="14"/>
        <v>+18</v>
      </c>
      <c r="L315" s="6" t="str">
        <f t="shared" si="15"/>
        <v>+36,3</v>
      </c>
      <c r="N315" s="2">
        <v>24</v>
      </c>
      <c r="O315" s="2">
        <v>18</v>
      </c>
      <c r="P315" s="2">
        <v>36.299999999999997</v>
      </c>
    </row>
    <row r="316" spans="1:16" x14ac:dyDescent="0.25">
      <c r="A316" s="3" t="s">
        <v>328</v>
      </c>
      <c r="B316" s="4">
        <v>5</v>
      </c>
      <c r="C316" s="4">
        <v>34</v>
      </c>
      <c r="D316" s="5">
        <v>23.36</v>
      </c>
      <c r="E316" s="5" t="s">
        <v>1</v>
      </c>
      <c r="F316" s="4">
        <v>24</v>
      </c>
      <c r="G316" s="4">
        <v>21</v>
      </c>
      <c r="H316" s="5">
        <v>11.5</v>
      </c>
      <c r="J316" s="6" t="str">
        <f t="shared" si="13"/>
        <v>+24</v>
      </c>
      <c r="K316" s="6" t="str">
        <f t="shared" si="14"/>
        <v>+21</v>
      </c>
      <c r="L316" s="6" t="str">
        <f t="shared" si="15"/>
        <v>+11,5</v>
      </c>
      <c r="N316" s="2">
        <v>24</v>
      </c>
      <c r="O316" s="2">
        <v>21</v>
      </c>
      <c r="P316" s="2">
        <v>11.5</v>
      </c>
    </row>
    <row r="317" spans="1:16" x14ac:dyDescent="0.25">
      <c r="A317" s="3" t="s">
        <v>329</v>
      </c>
      <c r="B317" s="4">
        <v>5</v>
      </c>
      <c r="C317" s="4">
        <v>33</v>
      </c>
      <c r="D317" s="5">
        <v>33.26</v>
      </c>
      <c r="E317" s="5" t="s">
        <v>1</v>
      </c>
      <c r="F317" s="4">
        <v>24</v>
      </c>
      <c r="G317" s="4">
        <v>23</v>
      </c>
      <c r="H317" s="5">
        <v>44.2</v>
      </c>
      <c r="J317" s="6" t="str">
        <f t="shared" si="13"/>
        <v>+24</v>
      </c>
      <c r="K317" s="6" t="str">
        <f t="shared" si="14"/>
        <v>+23</v>
      </c>
      <c r="L317" s="6" t="str">
        <f t="shared" si="15"/>
        <v>+44,2</v>
      </c>
      <c r="N317" s="2">
        <v>24</v>
      </c>
      <c r="O317" s="2">
        <v>23</v>
      </c>
      <c r="P317" s="2">
        <v>44.2</v>
      </c>
    </row>
    <row r="318" spans="1:16" x14ac:dyDescent="0.25">
      <c r="A318" s="3" t="s">
        <v>330</v>
      </c>
      <c r="B318" s="4">
        <v>5</v>
      </c>
      <c r="C318" s="4">
        <v>32</v>
      </c>
      <c r="D318" s="5">
        <v>39.42</v>
      </c>
      <c r="E318" s="5" t="s">
        <v>1</v>
      </c>
      <c r="F318" s="4">
        <v>24</v>
      </c>
      <c r="G318" s="4">
        <v>26</v>
      </c>
      <c r="H318" s="5">
        <v>14.3</v>
      </c>
      <c r="J318" s="6" t="str">
        <f t="shared" si="13"/>
        <v>+24</v>
      </c>
      <c r="K318" s="6" t="str">
        <f t="shared" si="14"/>
        <v>+26</v>
      </c>
      <c r="L318" s="6" t="str">
        <f t="shared" si="15"/>
        <v>+14,3</v>
      </c>
      <c r="N318" s="2">
        <v>24</v>
      </c>
      <c r="O318" s="2">
        <v>26</v>
      </c>
      <c r="P318" s="2">
        <v>14.3</v>
      </c>
    </row>
    <row r="319" spans="1:16" x14ac:dyDescent="0.25">
      <c r="A319" s="3" t="s">
        <v>331</v>
      </c>
      <c r="B319" s="4">
        <v>5</v>
      </c>
      <c r="C319" s="4">
        <v>31</v>
      </c>
      <c r="D319" s="5">
        <v>41.89</v>
      </c>
      <c r="E319" s="5" t="s">
        <v>1</v>
      </c>
      <c r="F319" s="4">
        <v>24</v>
      </c>
      <c r="G319" s="4">
        <v>28</v>
      </c>
      <c r="H319" s="5">
        <v>41.2</v>
      </c>
      <c r="J319" s="6" t="str">
        <f t="shared" si="13"/>
        <v>+24</v>
      </c>
      <c r="K319" s="6" t="str">
        <f t="shared" si="14"/>
        <v>+28</v>
      </c>
      <c r="L319" s="6" t="str">
        <f t="shared" si="15"/>
        <v>+41,2</v>
      </c>
      <c r="N319" s="2">
        <v>24</v>
      </c>
      <c r="O319" s="2">
        <v>28</v>
      </c>
      <c r="P319" s="2">
        <v>41.2</v>
      </c>
    </row>
    <row r="320" spans="1:16" x14ac:dyDescent="0.25">
      <c r="A320" s="3" t="s">
        <v>332</v>
      </c>
      <c r="B320" s="4">
        <v>5</v>
      </c>
      <c r="C320" s="4">
        <v>30</v>
      </c>
      <c r="D320" s="5">
        <v>40.74</v>
      </c>
      <c r="E320" s="5" t="s">
        <v>1</v>
      </c>
      <c r="F320" s="4">
        <v>24</v>
      </c>
      <c r="G320" s="4">
        <v>31</v>
      </c>
      <c r="H320" s="5">
        <v>4.7</v>
      </c>
      <c r="J320" s="6" t="str">
        <f t="shared" si="13"/>
        <v>+24</v>
      </c>
      <c r="K320" s="6" t="str">
        <f t="shared" si="14"/>
        <v>+31</v>
      </c>
      <c r="L320" s="6" t="str">
        <f t="shared" si="15"/>
        <v>+4,7</v>
      </c>
      <c r="N320" s="2">
        <v>24</v>
      </c>
      <c r="O320" s="2">
        <v>31</v>
      </c>
      <c r="P320" s="2">
        <v>4.7</v>
      </c>
    </row>
    <row r="321" spans="1:16" x14ac:dyDescent="0.25">
      <c r="A321" s="3" t="s">
        <v>333</v>
      </c>
      <c r="B321" s="4">
        <v>5</v>
      </c>
      <c r="C321" s="4">
        <v>29</v>
      </c>
      <c r="D321" s="5">
        <v>36.020000000000003</v>
      </c>
      <c r="E321" s="5" t="s">
        <v>1</v>
      </c>
      <c r="F321" s="4">
        <v>24</v>
      </c>
      <c r="G321" s="4">
        <v>33</v>
      </c>
      <c r="H321" s="5">
        <v>24.3</v>
      </c>
      <c r="J321" s="6" t="str">
        <f t="shared" si="13"/>
        <v>+24</v>
      </c>
      <c r="K321" s="6" t="str">
        <f t="shared" si="14"/>
        <v>+33</v>
      </c>
      <c r="L321" s="6" t="str">
        <f t="shared" si="15"/>
        <v>+24,3</v>
      </c>
      <c r="N321" s="2">
        <v>24</v>
      </c>
      <c r="O321" s="2">
        <v>33</v>
      </c>
      <c r="P321" s="2">
        <v>24.3</v>
      </c>
    </row>
    <row r="322" spans="1:16" x14ac:dyDescent="0.25">
      <c r="A322" s="3" t="s">
        <v>334</v>
      </c>
      <c r="B322" s="4">
        <v>5</v>
      </c>
      <c r="C322" s="4">
        <v>28</v>
      </c>
      <c r="D322" s="5">
        <v>27.84</v>
      </c>
      <c r="E322" s="5" t="s">
        <v>1</v>
      </c>
      <c r="F322" s="4">
        <v>24</v>
      </c>
      <c r="G322" s="4">
        <v>35</v>
      </c>
      <c r="H322" s="5">
        <v>39.700000000000003</v>
      </c>
      <c r="J322" s="6" t="str">
        <f t="shared" ref="J322:J365" si="16">$E322&amp;F322</f>
        <v>+24</v>
      </c>
      <c r="K322" s="6" t="str">
        <f t="shared" ref="K322:K365" si="17">$E322&amp;G322</f>
        <v>+35</v>
      </c>
      <c r="L322" s="6" t="str">
        <f t="shared" ref="L322:L365" si="18">$E322&amp;H322</f>
        <v>+39,7</v>
      </c>
      <c r="N322" s="2">
        <v>24</v>
      </c>
      <c r="O322" s="2">
        <v>35</v>
      </c>
      <c r="P322" s="2">
        <v>39.700000000000003</v>
      </c>
    </row>
    <row r="323" spans="1:16" x14ac:dyDescent="0.25">
      <c r="A323" s="3" t="s">
        <v>335</v>
      </c>
      <c r="B323" s="4">
        <v>5</v>
      </c>
      <c r="C323" s="4">
        <v>27</v>
      </c>
      <c r="D323" s="5">
        <v>16.29</v>
      </c>
      <c r="E323" s="5" t="s">
        <v>1</v>
      </c>
      <c r="F323" s="4">
        <v>24</v>
      </c>
      <c r="G323" s="4">
        <v>37</v>
      </c>
      <c r="H323" s="5">
        <v>50.4</v>
      </c>
      <c r="J323" s="6" t="str">
        <f t="shared" si="16"/>
        <v>+24</v>
      </c>
      <c r="K323" s="6" t="str">
        <f t="shared" si="17"/>
        <v>+37</v>
      </c>
      <c r="L323" s="6" t="str">
        <f t="shared" si="18"/>
        <v>+50,4</v>
      </c>
      <c r="N323" s="2">
        <v>24</v>
      </c>
      <c r="O323" s="2">
        <v>37</v>
      </c>
      <c r="P323" s="2">
        <v>50.4</v>
      </c>
    </row>
    <row r="324" spans="1:16" x14ac:dyDescent="0.25">
      <c r="A324" s="3" t="s">
        <v>336</v>
      </c>
      <c r="B324" s="4">
        <v>5</v>
      </c>
      <c r="C324" s="4">
        <v>26</v>
      </c>
      <c r="D324" s="5">
        <v>1.48</v>
      </c>
      <c r="E324" s="5" t="s">
        <v>1</v>
      </c>
      <c r="F324" s="4">
        <v>24</v>
      </c>
      <c r="G324" s="4">
        <v>39</v>
      </c>
      <c r="H324" s="5">
        <v>56</v>
      </c>
      <c r="J324" s="6" t="str">
        <f t="shared" si="16"/>
        <v>+24</v>
      </c>
      <c r="K324" s="6" t="str">
        <f t="shared" si="17"/>
        <v>+39</v>
      </c>
      <c r="L324" s="6" t="str">
        <f t="shared" si="18"/>
        <v>+56</v>
      </c>
      <c r="N324" s="2">
        <v>24</v>
      </c>
      <c r="O324" s="2">
        <v>39</v>
      </c>
      <c r="P324" s="2">
        <v>56</v>
      </c>
    </row>
    <row r="325" spans="1:16" x14ac:dyDescent="0.25">
      <c r="A325" s="3" t="s">
        <v>337</v>
      </c>
      <c r="B325" s="4">
        <v>5</v>
      </c>
      <c r="C325" s="4">
        <v>24</v>
      </c>
      <c r="D325" s="5">
        <v>43.53</v>
      </c>
      <c r="E325" s="5" t="s">
        <v>1</v>
      </c>
      <c r="F325" s="4">
        <v>24</v>
      </c>
      <c r="G325" s="4">
        <v>41</v>
      </c>
      <c r="H325" s="5">
        <v>56.1</v>
      </c>
      <c r="J325" s="6" t="str">
        <f t="shared" si="16"/>
        <v>+24</v>
      </c>
      <c r="K325" s="6" t="str">
        <f t="shared" si="17"/>
        <v>+41</v>
      </c>
      <c r="L325" s="6" t="str">
        <f t="shared" si="18"/>
        <v>+56,1</v>
      </c>
      <c r="N325" s="2">
        <v>24</v>
      </c>
      <c r="O325" s="2">
        <v>41</v>
      </c>
      <c r="P325" s="2">
        <v>56.1</v>
      </c>
    </row>
    <row r="326" spans="1:16" x14ac:dyDescent="0.25">
      <c r="A326" s="3" t="s">
        <v>338</v>
      </c>
      <c r="B326" s="4">
        <v>5</v>
      </c>
      <c r="C326" s="4">
        <v>23</v>
      </c>
      <c r="D326" s="5">
        <v>22.59</v>
      </c>
      <c r="E326" s="5" t="s">
        <v>1</v>
      </c>
      <c r="F326" s="4">
        <v>24</v>
      </c>
      <c r="G326" s="4">
        <v>43</v>
      </c>
      <c r="H326" s="5">
        <v>50.5</v>
      </c>
      <c r="J326" s="6" t="str">
        <f t="shared" si="16"/>
        <v>+24</v>
      </c>
      <c r="K326" s="6" t="str">
        <f t="shared" si="17"/>
        <v>+43</v>
      </c>
      <c r="L326" s="6" t="str">
        <f t="shared" si="18"/>
        <v>+50,5</v>
      </c>
      <c r="N326" s="2">
        <v>24</v>
      </c>
      <c r="O326" s="2">
        <v>43</v>
      </c>
      <c r="P326" s="2">
        <v>50.5</v>
      </c>
    </row>
    <row r="327" spans="1:16" x14ac:dyDescent="0.25">
      <c r="A327" s="3" t="s">
        <v>339</v>
      </c>
      <c r="B327" s="4">
        <v>5</v>
      </c>
      <c r="C327" s="4">
        <v>21</v>
      </c>
      <c r="D327" s="5">
        <v>58.79</v>
      </c>
      <c r="E327" s="5" t="s">
        <v>1</v>
      </c>
      <c r="F327" s="4">
        <v>24</v>
      </c>
      <c r="G327" s="4">
        <v>45</v>
      </c>
      <c r="H327" s="5">
        <v>38.6</v>
      </c>
      <c r="J327" s="6" t="str">
        <f t="shared" si="16"/>
        <v>+24</v>
      </c>
      <c r="K327" s="6" t="str">
        <f t="shared" si="17"/>
        <v>+45</v>
      </c>
      <c r="L327" s="6" t="str">
        <f t="shared" si="18"/>
        <v>+38,6</v>
      </c>
      <c r="N327" s="2">
        <v>24</v>
      </c>
      <c r="O327" s="2">
        <v>45</v>
      </c>
      <c r="P327" s="2">
        <v>38.6</v>
      </c>
    </row>
    <row r="328" spans="1:16" x14ac:dyDescent="0.25">
      <c r="A328" s="3" t="s">
        <v>340</v>
      </c>
      <c r="B328" s="4">
        <v>5</v>
      </c>
      <c r="C328" s="4">
        <v>20</v>
      </c>
      <c r="D328" s="5">
        <v>32.299999999999997</v>
      </c>
      <c r="E328" s="5" t="s">
        <v>1</v>
      </c>
      <c r="F328" s="4">
        <v>24</v>
      </c>
      <c r="G328" s="4">
        <v>47</v>
      </c>
      <c r="H328" s="5">
        <v>20.2</v>
      </c>
      <c r="J328" s="6" t="str">
        <f t="shared" si="16"/>
        <v>+24</v>
      </c>
      <c r="K328" s="6" t="str">
        <f t="shared" si="17"/>
        <v>+47</v>
      </c>
      <c r="L328" s="6" t="str">
        <f t="shared" si="18"/>
        <v>+20,2</v>
      </c>
      <c r="N328" s="2">
        <v>24</v>
      </c>
      <c r="O328" s="2">
        <v>47</v>
      </c>
      <c r="P328" s="2">
        <v>20.2</v>
      </c>
    </row>
    <row r="329" spans="1:16" x14ac:dyDescent="0.25">
      <c r="A329" s="3" t="s">
        <v>341</v>
      </c>
      <c r="B329" s="4">
        <v>5</v>
      </c>
      <c r="C329" s="4">
        <v>19</v>
      </c>
      <c r="D329" s="5">
        <v>3.31</v>
      </c>
      <c r="E329" s="5" t="s">
        <v>1</v>
      </c>
      <c r="F329" s="4">
        <v>24</v>
      </c>
      <c r="G329" s="4">
        <v>48</v>
      </c>
      <c r="H329" s="5">
        <v>54.9</v>
      </c>
      <c r="J329" s="6" t="str">
        <f t="shared" si="16"/>
        <v>+24</v>
      </c>
      <c r="K329" s="6" t="str">
        <f t="shared" si="17"/>
        <v>+48</v>
      </c>
      <c r="L329" s="6" t="str">
        <f t="shared" si="18"/>
        <v>+54,9</v>
      </c>
      <c r="N329" s="2">
        <v>24</v>
      </c>
      <c r="O329" s="2">
        <v>48</v>
      </c>
      <c r="P329" s="2">
        <v>54.9</v>
      </c>
    </row>
    <row r="330" spans="1:16" x14ac:dyDescent="0.25">
      <c r="A330" s="3" t="s">
        <v>342</v>
      </c>
      <c r="B330" s="4">
        <v>5</v>
      </c>
      <c r="C330" s="4">
        <v>17</v>
      </c>
      <c r="D330" s="5">
        <v>32</v>
      </c>
      <c r="E330" s="5" t="s">
        <v>1</v>
      </c>
      <c r="F330" s="4">
        <v>24</v>
      </c>
      <c r="G330" s="4">
        <v>50</v>
      </c>
      <c r="H330" s="5">
        <v>22.5</v>
      </c>
      <c r="J330" s="6" t="str">
        <f t="shared" si="16"/>
        <v>+24</v>
      </c>
      <c r="K330" s="6" t="str">
        <f t="shared" si="17"/>
        <v>+50</v>
      </c>
      <c r="L330" s="6" t="str">
        <f t="shared" si="18"/>
        <v>+22,5</v>
      </c>
      <c r="N330" s="2">
        <v>24</v>
      </c>
      <c r="O330" s="2">
        <v>50</v>
      </c>
      <c r="P330" s="2">
        <v>22.5</v>
      </c>
    </row>
    <row r="331" spans="1:16" x14ac:dyDescent="0.25">
      <c r="A331" s="3" t="s">
        <v>343</v>
      </c>
      <c r="B331" s="4">
        <v>5</v>
      </c>
      <c r="C331" s="4">
        <v>15</v>
      </c>
      <c r="D331" s="5">
        <v>58.57</v>
      </c>
      <c r="E331" s="5" t="s">
        <v>1</v>
      </c>
      <c r="F331" s="4">
        <v>24</v>
      </c>
      <c r="G331" s="4">
        <v>51</v>
      </c>
      <c r="H331" s="5">
        <v>42.7</v>
      </c>
      <c r="J331" s="6" t="str">
        <f t="shared" si="16"/>
        <v>+24</v>
      </c>
      <c r="K331" s="6" t="str">
        <f t="shared" si="17"/>
        <v>+51</v>
      </c>
      <c r="L331" s="6" t="str">
        <f t="shared" si="18"/>
        <v>+42,7</v>
      </c>
      <c r="N331" s="2">
        <v>24</v>
      </c>
      <c r="O331" s="2">
        <v>51</v>
      </c>
      <c r="P331" s="2">
        <v>42.7</v>
      </c>
    </row>
    <row r="332" spans="1:16" x14ac:dyDescent="0.25">
      <c r="A332" s="3" t="s">
        <v>344</v>
      </c>
      <c r="B332" s="4">
        <v>5</v>
      </c>
      <c r="C332" s="4">
        <v>14</v>
      </c>
      <c r="D332" s="5">
        <v>23.22</v>
      </c>
      <c r="E332" s="5" t="s">
        <v>1</v>
      </c>
      <c r="F332" s="4">
        <v>24</v>
      </c>
      <c r="G332" s="4">
        <v>52</v>
      </c>
      <c r="H332" s="5">
        <v>55.2</v>
      </c>
      <c r="J332" s="6" t="str">
        <f t="shared" si="16"/>
        <v>+24</v>
      </c>
      <c r="K332" s="6" t="str">
        <f t="shared" si="17"/>
        <v>+52</v>
      </c>
      <c r="L332" s="6" t="str">
        <f t="shared" si="18"/>
        <v>+55,2</v>
      </c>
      <c r="N332" s="2">
        <v>24</v>
      </c>
      <c r="O332" s="2">
        <v>52</v>
      </c>
      <c r="P332" s="2">
        <v>55.2</v>
      </c>
    </row>
    <row r="333" spans="1:16" x14ac:dyDescent="0.25">
      <c r="A333" s="3" t="s">
        <v>345</v>
      </c>
      <c r="B333" s="4">
        <v>5</v>
      </c>
      <c r="C333" s="4">
        <v>12</v>
      </c>
      <c r="D333" s="5">
        <v>46.17</v>
      </c>
      <c r="E333" s="5" t="s">
        <v>1</v>
      </c>
      <c r="F333" s="4">
        <v>24</v>
      </c>
      <c r="G333" s="4">
        <v>53</v>
      </c>
      <c r="H333" s="5">
        <v>59.8</v>
      </c>
      <c r="J333" s="6" t="str">
        <f t="shared" si="16"/>
        <v>+24</v>
      </c>
      <c r="K333" s="6" t="str">
        <f t="shared" si="17"/>
        <v>+53</v>
      </c>
      <c r="L333" s="6" t="str">
        <f t="shared" si="18"/>
        <v>+59,8</v>
      </c>
      <c r="N333" s="2">
        <v>24</v>
      </c>
      <c r="O333" s="2">
        <v>53</v>
      </c>
      <c r="P333" s="2">
        <v>59.8</v>
      </c>
    </row>
    <row r="334" spans="1:16" x14ac:dyDescent="0.25">
      <c r="A334" s="3" t="s">
        <v>346</v>
      </c>
      <c r="B334" s="4">
        <v>5</v>
      </c>
      <c r="C334" s="4">
        <v>11</v>
      </c>
      <c r="D334" s="5">
        <v>7.64</v>
      </c>
      <c r="E334" s="5" t="s">
        <v>1</v>
      </c>
      <c r="F334" s="4">
        <v>24</v>
      </c>
      <c r="G334" s="4">
        <v>54</v>
      </c>
      <c r="H334" s="5">
        <v>56.4</v>
      </c>
      <c r="J334" s="6" t="str">
        <f t="shared" si="16"/>
        <v>+24</v>
      </c>
      <c r="K334" s="6" t="str">
        <f t="shared" si="17"/>
        <v>+54</v>
      </c>
      <c r="L334" s="6" t="str">
        <f t="shared" si="18"/>
        <v>+56,4</v>
      </c>
      <c r="N334" s="2">
        <v>24</v>
      </c>
      <c r="O334" s="2">
        <v>54</v>
      </c>
      <c r="P334" s="2">
        <v>56.4</v>
      </c>
    </row>
    <row r="335" spans="1:16" x14ac:dyDescent="0.25">
      <c r="A335" s="3" t="s">
        <v>347</v>
      </c>
      <c r="B335" s="4">
        <v>5</v>
      </c>
      <c r="C335" s="4">
        <v>9</v>
      </c>
      <c r="D335" s="5">
        <v>27.84</v>
      </c>
      <c r="E335" s="5" t="s">
        <v>1</v>
      </c>
      <c r="F335" s="4">
        <v>24</v>
      </c>
      <c r="G335" s="4">
        <v>55</v>
      </c>
      <c r="H335" s="5">
        <v>44.9</v>
      </c>
      <c r="J335" s="6" t="str">
        <f t="shared" si="16"/>
        <v>+24</v>
      </c>
      <c r="K335" s="6" t="str">
        <f t="shared" si="17"/>
        <v>+55</v>
      </c>
      <c r="L335" s="6" t="str">
        <f t="shared" si="18"/>
        <v>+44,9</v>
      </c>
      <c r="N335" s="2">
        <v>24</v>
      </c>
      <c r="O335" s="2">
        <v>55</v>
      </c>
      <c r="P335" s="2">
        <v>44.9</v>
      </c>
    </row>
    <row r="336" spans="1:16" x14ac:dyDescent="0.25">
      <c r="A336" s="3" t="s">
        <v>348</v>
      </c>
      <c r="B336" s="4">
        <v>5</v>
      </c>
      <c r="C336" s="4">
        <v>7</v>
      </c>
      <c r="D336" s="5">
        <v>47</v>
      </c>
      <c r="E336" s="5" t="s">
        <v>1</v>
      </c>
      <c r="F336" s="4">
        <v>24</v>
      </c>
      <c r="G336" s="4">
        <v>56</v>
      </c>
      <c r="H336" s="5">
        <v>25.1</v>
      </c>
      <c r="J336" s="6" t="str">
        <f t="shared" si="16"/>
        <v>+24</v>
      </c>
      <c r="K336" s="6" t="str">
        <f t="shared" si="17"/>
        <v>+56</v>
      </c>
      <c r="L336" s="6" t="str">
        <f t="shared" si="18"/>
        <v>+25,1</v>
      </c>
      <c r="N336" s="2">
        <v>24</v>
      </c>
      <c r="O336" s="2">
        <v>56</v>
      </c>
      <c r="P336" s="2">
        <v>25.1</v>
      </c>
    </row>
    <row r="337" spans="1:16" x14ac:dyDescent="0.25">
      <c r="A337" s="3" t="s">
        <v>349</v>
      </c>
      <c r="B337" s="4">
        <v>5</v>
      </c>
      <c r="C337" s="4">
        <v>6</v>
      </c>
      <c r="D337" s="5">
        <v>5.35</v>
      </c>
      <c r="E337" s="5" t="s">
        <v>1</v>
      </c>
      <c r="F337" s="4">
        <v>24</v>
      </c>
      <c r="G337" s="4">
        <v>56</v>
      </c>
      <c r="H337" s="5">
        <v>57.1</v>
      </c>
      <c r="J337" s="6" t="str">
        <f t="shared" si="16"/>
        <v>+24</v>
      </c>
      <c r="K337" s="6" t="str">
        <f t="shared" si="17"/>
        <v>+56</v>
      </c>
      <c r="L337" s="6" t="str">
        <f t="shared" si="18"/>
        <v>+57,1</v>
      </c>
      <c r="N337" s="2">
        <v>24</v>
      </c>
      <c r="O337" s="2">
        <v>56</v>
      </c>
      <c r="P337" s="2">
        <v>57.1</v>
      </c>
    </row>
    <row r="338" spans="1:16" x14ac:dyDescent="0.25">
      <c r="A338" s="3" t="s">
        <v>350</v>
      </c>
      <c r="B338" s="4">
        <v>5</v>
      </c>
      <c r="C338" s="4">
        <v>4</v>
      </c>
      <c r="D338" s="5">
        <v>23.09</v>
      </c>
      <c r="E338" s="5" t="s">
        <v>1</v>
      </c>
      <c r="F338" s="4">
        <v>24</v>
      </c>
      <c r="G338" s="4">
        <v>57</v>
      </c>
      <c r="H338" s="5">
        <v>20.7</v>
      </c>
      <c r="J338" s="6" t="str">
        <f t="shared" si="16"/>
        <v>+24</v>
      </c>
      <c r="K338" s="6" t="str">
        <f t="shared" si="17"/>
        <v>+57</v>
      </c>
      <c r="L338" s="6" t="str">
        <f t="shared" si="18"/>
        <v>+20,7</v>
      </c>
      <c r="N338" s="2">
        <v>24</v>
      </c>
      <c r="O338" s="2">
        <v>57</v>
      </c>
      <c r="P338" s="2">
        <v>20.7</v>
      </c>
    </row>
    <row r="339" spans="1:16" x14ac:dyDescent="0.25">
      <c r="A339" s="3" t="s">
        <v>351</v>
      </c>
      <c r="B339" s="4">
        <v>5</v>
      </c>
      <c r="C339" s="4">
        <v>2</v>
      </c>
      <c r="D339" s="5">
        <v>40.47</v>
      </c>
      <c r="E339" s="5" t="s">
        <v>1</v>
      </c>
      <c r="F339" s="4">
        <v>24</v>
      </c>
      <c r="G339" s="4">
        <v>57</v>
      </c>
      <c r="H339" s="5">
        <v>36.1</v>
      </c>
      <c r="J339" s="6" t="str">
        <f t="shared" si="16"/>
        <v>+24</v>
      </c>
      <c r="K339" s="6" t="str">
        <f t="shared" si="17"/>
        <v>+57</v>
      </c>
      <c r="L339" s="6" t="str">
        <f t="shared" si="18"/>
        <v>+36,1</v>
      </c>
      <c r="N339" s="2">
        <v>24</v>
      </c>
      <c r="O339" s="2">
        <v>57</v>
      </c>
      <c r="P339" s="2">
        <v>36.1</v>
      </c>
    </row>
    <row r="340" spans="1:16" x14ac:dyDescent="0.25">
      <c r="A340" s="3" t="s">
        <v>352</v>
      </c>
      <c r="B340" s="4">
        <v>5</v>
      </c>
      <c r="C340" s="4">
        <v>0</v>
      </c>
      <c r="D340" s="5">
        <v>57.7</v>
      </c>
      <c r="E340" s="5" t="s">
        <v>1</v>
      </c>
      <c r="F340" s="4">
        <v>24</v>
      </c>
      <c r="G340" s="4">
        <v>57</v>
      </c>
      <c r="H340" s="5">
        <v>43.3</v>
      </c>
      <c r="J340" s="6" t="str">
        <f t="shared" si="16"/>
        <v>+24</v>
      </c>
      <c r="K340" s="6" t="str">
        <f t="shared" si="17"/>
        <v>+57</v>
      </c>
      <c r="L340" s="6" t="str">
        <f t="shared" si="18"/>
        <v>+43,3</v>
      </c>
      <c r="N340" s="2">
        <v>24</v>
      </c>
      <c r="O340" s="2">
        <v>57</v>
      </c>
      <c r="P340" s="2">
        <v>43.3</v>
      </c>
    </row>
    <row r="341" spans="1:16" x14ac:dyDescent="0.25">
      <c r="A341" s="3" t="s">
        <v>353</v>
      </c>
      <c r="B341" s="4">
        <v>4</v>
      </c>
      <c r="C341" s="4">
        <v>59</v>
      </c>
      <c r="D341" s="5">
        <v>15.01</v>
      </c>
      <c r="E341" s="5" t="s">
        <v>1</v>
      </c>
      <c r="F341" s="4">
        <v>24</v>
      </c>
      <c r="G341" s="4">
        <v>57</v>
      </c>
      <c r="H341" s="5">
        <v>42.4</v>
      </c>
      <c r="J341" s="6" t="str">
        <f t="shared" si="16"/>
        <v>+24</v>
      </c>
      <c r="K341" s="6" t="str">
        <f t="shared" si="17"/>
        <v>+57</v>
      </c>
      <c r="L341" s="6" t="str">
        <f t="shared" si="18"/>
        <v>+42,4</v>
      </c>
      <c r="N341" s="2">
        <v>24</v>
      </c>
      <c r="O341" s="2">
        <v>57</v>
      </c>
      <c r="P341" s="2">
        <v>42.4</v>
      </c>
    </row>
    <row r="342" spans="1:16" x14ac:dyDescent="0.25">
      <c r="A342" s="3" t="s">
        <v>354</v>
      </c>
      <c r="B342" s="4">
        <v>4</v>
      </c>
      <c r="C342" s="4">
        <v>57</v>
      </c>
      <c r="D342" s="5">
        <v>32.61</v>
      </c>
      <c r="E342" s="5" t="s">
        <v>1</v>
      </c>
      <c r="F342" s="4">
        <v>24</v>
      </c>
      <c r="G342" s="4">
        <v>57</v>
      </c>
      <c r="H342" s="5">
        <v>33.6</v>
      </c>
      <c r="J342" s="6" t="str">
        <f t="shared" si="16"/>
        <v>+24</v>
      </c>
      <c r="K342" s="6" t="str">
        <f t="shared" si="17"/>
        <v>+57</v>
      </c>
      <c r="L342" s="6" t="str">
        <f t="shared" si="18"/>
        <v>+33,6</v>
      </c>
      <c r="N342" s="2">
        <v>24</v>
      </c>
      <c r="O342" s="2">
        <v>57</v>
      </c>
      <c r="P342" s="2">
        <v>33.6</v>
      </c>
    </row>
    <row r="343" spans="1:16" x14ac:dyDescent="0.25">
      <c r="A343" s="3" t="s">
        <v>355</v>
      </c>
      <c r="B343" s="4">
        <v>4</v>
      </c>
      <c r="C343" s="4">
        <v>55</v>
      </c>
      <c r="D343" s="5">
        <v>50.72</v>
      </c>
      <c r="E343" s="5" t="s">
        <v>1</v>
      </c>
      <c r="F343" s="4">
        <v>24</v>
      </c>
      <c r="G343" s="4">
        <v>57</v>
      </c>
      <c r="H343" s="5">
        <v>17.2</v>
      </c>
      <c r="J343" s="6" t="str">
        <f t="shared" si="16"/>
        <v>+24</v>
      </c>
      <c r="K343" s="6" t="str">
        <f t="shared" si="17"/>
        <v>+57</v>
      </c>
      <c r="L343" s="6" t="str">
        <f t="shared" si="18"/>
        <v>+17,2</v>
      </c>
      <c r="N343" s="2">
        <v>24</v>
      </c>
      <c r="O343" s="2">
        <v>57</v>
      </c>
      <c r="P343" s="2">
        <v>17.2</v>
      </c>
    </row>
    <row r="344" spans="1:16" x14ac:dyDescent="0.25">
      <c r="A344" s="3" t="s">
        <v>356</v>
      </c>
      <c r="B344" s="4">
        <v>4</v>
      </c>
      <c r="C344" s="4">
        <v>54</v>
      </c>
      <c r="D344" s="5">
        <v>9.57</v>
      </c>
      <c r="E344" s="5" t="s">
        <v>1</v>
      </c>
      <c r="F344" s="4">
        <v>24</v>
      </c>
      <c r="G344" s="4">
        <v>56</v>
      </c>
      <c r="H344" s="5">
        <v>53.3</v>
      </c>
      <c r="J344" s="6" t="str">
        <f t="shared" si="16"/>
        <v>+24</v>
      </c>
      <c r="K344" s="6" t="str">
        <f t="shared" si="17"/>
        <v>+56</v>
      </c>
      <c r="L344" s="6" t="str">
        <f t="shared" si="18"/>
        <v>+53,3</v>
      </c>
      <c r="N344" s="2">
        <v>24</v>
      </c>
      <c r="O344" s="2">
        <v>56</v>
      </c>
      <c r="P344" s="2">
        <v>53.3</v>
      </c>
    </row>
    <row r="345" spans="1:16" x14ac:dyDescent="0.25">
      <c r="A345" s="3" t="s">
        <v>357</v>
      </c>
      <c r="B345" s="4">
        <v>4</v>
      </c>
      <c r="C345" s="4">
        <v>52</v>
      </c>
      <c r="D345" s="5">
        <v>29.35</v>
      </c>
      <c r="E345" s="5" t="s">
        <v>1</v>
      </c>
      <c r="F345" s="4">
        <v>24</v>
      </c>
      <c r="G345" s="4">
        <v>56</v>
      </c>
      <c r="H345" s="5">
        <v>22.3</v>
      </c>
      <c r="J345" s="6" t="str">
        <f t="shared" si="16"/>
        <v>+24</v>
      </c>
      <c r="K345" s="6" t="str">
        <f t="shared" si="17"/>
        <v>+56</v>
      </c>
      <c r="L345" s="6" t="str">
        <f t="shared" si="18"/>
        <v>+22,3</v>
      </c>
      <c r="N345" s="2">
        <v>24</v>
      </c>
      <c r="O345" s="2">
        <v>56</v>
      </c>
      <c r="P345" s="2">
        <v>22.3</v>
      </c>
    </row>
    <row r="346" spans="1:16" x14ac:dyDescent="0.25">
      <c r="A346" s="3" t="s">
        <v>358</v>
      </c>
      <c r="B346" s="4">
        <v>4</v>
      </c>
      <c r="C346" s="4">
        <v>50</v>
      </c>
      <c r="D346" s="5">
        <v>50.29</v>
      </c>
      <c r="E346" s="5" t="s">
        <v>1</v>
      </c>
      <c r="F346" s="4">
        <v>24</v>
      </c>
      <c r="G346" s="4">
        <v>55</v>
      </c>
      <c r="H346" s="5">
        <v>44.5</v>
      </c>
      <c r="J346" s="6" t="str">
        <f t="shared" si="16"/>
        <v>+24</v>
      </c>
      <c r="K346" s="6" t="str">
        <f t="shared" si="17"/>
        <v>+55</v>
      </c>
      <c r="L346" s="6" t="str">
        <f t="shared" si="18"/>
        <v>+44,5</v>
      </c>
      <c r="N346" s="2">
        <v>24</v>
      </c>
      <c r="O346" s="2">
        <v>55</v>
      </c>
      <c r="P346" s="2">
        <v>44.5</v>
      </c>
    </row>
    <row r="347" spans="1:16" x14ac:dyDescent="0.25">
      <c r="A347" s="3" t="s">
        <v>359</v>
      </c>
      <c r="B347" s="4">
        <v>4</v>
      </c>
      <c r="C347" s="4">
        <v>49</v>
      </c>
      <c r="D347" s="5">
        <v>12.58</v>
      </c>
      <c r="E347" s="5" t="s">
        <v>1</v>
      </c>
      <c r="F347" s="4">
        <v>24</v>
      </c>
      <c r="G347" s="4">
        <v>55</v>
      </c>
      <c r="H347" s="5">
        <v>0.4</v>
      </c>
      <c r="J347" s="6" t="str">
        <f t="shared" si="16"/>
        <v>+24</v>
      </c>
      <c r="K347" s="6" t="str">
        <f t="shared" si="17"/>
        <v>+55</v>
      </c>
      <c r="L347" s="6" t="str">
        <f t="shared" si="18"/>
        <v>+0,4</v>
      </c>
      <c r="N347" s="2">
        <v>24</v>
      </c>
      <c r="O347" s="2">
        <v>55</v>
      </c>
      <c r="P347" s="2">
        <v>0.4</v>
      </c>
    </row>
    <row r="348" spans="1:16" x14ac:dyDescent="0.25">
      <c r="A348" s="3" t="s">
        <v>360</v>
      </c>
      <c r="B348" s="4">
        <v>4</v>
      </c>
      <c r="C348" s="4">
        <v>47</v>
      </c>
      <c r="D348" s="5">
        <v>36.42</v>
      </c>
      <c r="E348" s="5" t="s">
        <v>1</v>
      </c>
      <c r="F348" s="4">
        <v>24</v>
      </c>
      <c r="G348" s="4">
        <v>54</v>
      </c>
      <c r="H348" s="5">
        <v>10.199999999999999</v>
      </c>
      <c r="J348" s="6" t="str">
        <f t="shared" si="16"/>
        <v>+24</v>
      </c>
      <c r="K348" s="6" t="str">
        <f t="shared" si="17"/>
        <v>+54</v>
      </c>
      <c r="L348" s="6" t="str">
        <f t="shared" si="18"/>
        <v>+10,2</v>
      </c>
      <c r="N348" s="2">
        <v>24</v>
      </c>
      <c r="O348" s="2">
        <v>54</v>
      </c>
      <c r="P348" s="2">
        <v>10.199999999999999</v>
      </c>
    </row>
    <row r="349" spans="1:16" x14ac:dyDescent="0.25">
      <c r="A349" s="3" t="s">
        <v>361</v>
      </c>
      <c r="B349" s="4">
        <v>4</v>
      </c>
      <c r="C349" s="4">
        <v>46</v>
      </c>
      <c r="D349" s="5">
        <v>2.0099999999999998</v>
      </c>
      <c r="E349" s="5" t="s">
        <v>1</v>
      </c>
      <c r="F349" s="4">
        <v>24</v>
      </c>
      <c r="G349" s="4">
        <v>53</v>
      </c>
      <c r="H349" s="5">
        <v>14.6</v>
      </c>
      <c r="J349" s="6" t="str">
        <f t="shared" si="16"/>
        <v>+24</v>
      </c>
      <c r="K349" s="6" t="str">
        <f t="shared" si="17"/>
        <v>+53</v>
      </c>
      <c r="L349" s="6" t="str">
        <f t="shared" si="18"/>
        <v>+14,6</v>
      </c>
      <c r="N349" s="2">
        <v>24</v>
      </c>
      <c r="O349" s="2">
        <v>53</v>
      </c>
      <c r="P349" s="2">
        <v>14.6</v>
      </c>
    </row>
    <row r="350" spans="1:16" x14ac:dyDescent="0.25">
      <c r="A350" s="3" t="s">
        <v>362</v>
      </c>
      <c r="B350" s="4">
        <v>4</v>
      </c>
      <c r="C350" s="4">
        <v>44</v>
      </c>
      <c r="D350" s="5">
        <v>29.52</v>
      </c>
      <c r="E350" s="5" t="s">
        <v>1</v>
      </c>
      <c r="F350" s="4">
        <v>24</v>
      </c>
      <c r="G350" s="4">
        <v>52</v>
      </c>
      <c r="H350" s="5">
        <v>14</v>
      </c>
      <c r="J350" s="6" t="str">
        <f t="shared" si="16"/>
        <v>+24</v>
      </c>
      <c r="K350" s="6" t="str">
        <f t="shared" si="17"/>
        <v>+52</v>
      </c>
      <c r="L350" s="6" t="str">
        <f t="shared" si="18"/>
        <v>+14</v>
      </c>
      <c r="N350" s="2">
        <v>24</v>
      </c>
      <c r="O350" s="2">
        <v>52</v>
      </c>
      <c r="P350" s="2">
        <v>14</v>
      </c>
    </row>
    <row r="351" spans="1:16" x14ac:dyDescent="0.25">
      <c r="A351" s="3" t="s">
        <v>363</v>
      </c>
      <c r="B351" s="4">
        <v>4</v>
      </c>
      <c r="C351" s="4">
        <v>42</v>
      </c>
      <c r="D351" s="5">
        <v>59.14</v>
      </c>
      <c r="E351" s="5" t="s">
        <v>1</v>
      </c>
      <c r="F351" s="4">
        <v>24</v>
      </c>
      <c r="G351" s="4">
        <v>51</v>
      </c>
      <c r="H351" s="5">
        <v>8.8000000000000007</v>
      </c>
      <c r="J351" s="6" t="str">
        <f t="shared" si="16"/>
        <v>+24</v>
      </c>
      <c r="K351" s="6" t="str">
        <f t="shared" si="17"/>
        <v>+51</v>
      </c>
      <c r="L351" s="6" t="str">
        <f t="shared" si="18"/>
        <v>+8,8</v>
      </c>
      <c r="N351" s="2">
        <v>24</v>
      </c>
      <c r="O351" s="2">
        <v>51</v>
      </c>
      <c r="P351" s="2">
        <v>8.8000000000000007</v>
      </c>
    </row>
    <row r="352" spans="1:16" x14ac:dyDescent="0.25">
      <c r="A352" s="3" t="s">
        <v>364</v>
      </c>
      <c r="B352" s="4">
        <v>4</v>
      </c>
      <c r="C352" s="4">
        <v>41</v>
      </c>
      <c r="D352" s="5">
        <v>31.03</v>
      </c>
      <c r="E352" s="5" t="s">
        <v>1</v>
      </c>
      <c r="F352" s="4">
        <v>24</v>
      </c>
      <c r="G352" s="4">
        <v>49</v>
      </c>
      <c r="H352" s="5">
        <v>59.6</v>
      </c>
      <c r="J352" s="6" t="str">
        <f t="shared" si="16"/>
        <v>+24</v>
      </c>
      <c r="K352" s="6" t="str">
        <f t="shared" si="17"/>
        <v>+49</v>
      </c>
      <c r="L352" s="6" t="str">
        <f t="shared" si="18"/>
        <v>+59,6</v>
      </c>
      <c r="N352" s="2">
        <v>24</v>
      </c>
      <c r="O352" s="2">
        <v>49</v>
      </c>
      <c r="P352" s="2">
        <v>59.6</v>
      </c>
    </row>
    <row r="353" spans="1:16" x14ac:dyDescent="0.25">
      <c r="A353" s="3" t="s">
        <v>365</v>
      </c>
      <c r="B353" s="4">
        <v>4</v>
      </c>
      <c r="C353" s="4">
        <v>40</v>
      </c>
      <c r="D353" s="5">
        <v>5.36</v>
      </c>
      <c r="E353" s="5" t="s">
        <v>1</v>
      </c>
      <c r="F353" s="4">
        <v>24</v>
      </c>
      <c r="G353" s="4">
        <v>48</v>
      </c>
      <c r="H353" s="5">
        <v>47.1</v>
      </c>
      <c r="J353" s="6" t="str">
        <f t="shared" si="16"/>
        <v>+24</v>
      </c>
      <c r="K353" s="6" t="str">
        <f t="shared" si="17"/>
        <v>+48</v>
      </c>
      <c r="L353" s="6" t="str">
        <f t="shared" si="18"/>
        <v>+47,1</v>
      </c>
      <c r="N353" s="2">
        <v>24</v>
      </c>
      <c r="O353" s="2">
        <v>48</v>
      </c>
      <c r="P353" s="2">
        <v>47.1</v>
      </c>
    </row>
    <row r="354" spans="1:16" x14ac:dyDescent="0.25">
      <c r="A354" s="3" t="s">
        <v>366</v>
      </c>
      <c r="B354" s="4">
        <v>4</v>
      </c>
      <c r="C354" s="4">
        <v>38</v>
      </c>
      <c r="D354" s="5">
        <v>42.28</v>
      </c>
      <c r="E354" s="5" t="s">
        <v>1</v>
      </c>
      <c r="F354" s="4">
        <v>24</v>
      </c>
      <c r="G354" s="4">
        <v>47</v>
      </c>
      <c r="H354" s="5">
        <v>31.6</v>
      </c>
      <c r="J354" s="6" t="str">
        <f t="shared" si="16"/>
        <v>+24</v>
      </c>
      <c r="K354" s="6" t="str">
        <f t="shared" si="17"/>
        <v>+47</v>
      </c>
      <c r="L354" s="6" t="str">
        <f t="shared" si="18"/>
        <v>+31,6</v>
      </c>
      <c r="N354" s="2">
        <v>24</v>
      </c>
      <c r="O354" s="2">
        <v>47</v>
      </c>
      <c r="P354" s="2">
        <v>31.6</v>
      </c>
    </row>
    <row r="355" spans="1:16" x14ac:dyDescent="0.25">
      <c r="A355" s="3" t="s">
        <v>367</v>
      </c>
      <c r="B355" s="4">
        <v>4</v>
      </c>
      <c r="C355" s="4">
        <v>37</v>
      </c>
      <c r="D355" s="5">
        <v>21.94</v>
      </c>
      <c r="E355" s="5" t="s">
        <v>1</v>
      </c>
      <c r="F355" s="4">
        <v>24</v>
      </c>
      <c r="G355" s="4">
        <v>46</v>
      </c>
      <c r="H355" s="5">
        <v>13.9</v>
      </c>
      <c r="J355" s="6" t="str">
        <f t="shared" si="16"/>
        <v>+24</v>
      </c>
      <c r="K355" s="6" t="str">
        <f t="shared" si="17"/>
        <v>+46</v>
      </c>
      <c r="L355" s="6" t="str">
        <f t="shared" si="18"/>
        <v>+13,9</v>
      </c>
      <c r="N355" s="2">
        <v>24</v>
      </c>
      <c r="O355" s="2">
        <v>46</v>
      </c>
      <c r="P355" s="2">
        <v>13.9</v>
      </c>
    </row>
    <row r="356" spans="1:16" x14ac:dyDescent="0.25">
      <c r="A356" s="3" t="s">
        <v>368</v>
      </c>
      <c r="B356" s="4">
        <v>4</v>
      </c>
      <c r="C356" s="4">
        <v>36</v>
      </c>
      <c r="D356" s="5">
        <v>4.47</v>
      </c>
      <c r="E356" s="5" t="s">
        <v>1</v>
      </c>
      <c r="F356" s="4">
        <v>24</v>
      </c>
      <c r="G356" s="4">
        <v>44</v>
      </c>
      <c r="H356" s="5">
        <v>54.4</v>
      </c>
      <c r="J356" s="6" t="str">
        <f t="shared" si="16"/>
        <v>+24</v>
      </c>
      <c r="K356" s="6" t="str">
        <f t="shared" si="17"/>
        <v>+44</v>
      </c>
      <c r="L356" s="6" t="str">
        <f t="shared" si="18"/>
        <v>+54,4</v>
      </c>
      <c r="N356" s="2">
        <v>24</v>
      </c>
      <c r="O356" s="2">
        <v>44</v>
      </c>
      <c r="P356" s="2">
        <v>54.4</v>
      </c>
    </row>
    <row r="357" spans="1:16" x14ac:dyDescent="0.25">
      <c r="A357" s="3" t="s">
        <v>369</v>
      </c>
      <c r="B357" s="4">
        <v>4</v>
      </c>
      <c r="C357" s="4">
        <v>34</v>
      </c>
      <c r="D357" s="5">
        <v>50.01</v>
      </c>
      <c r="E357" s="5" t="s">
        <v>1</v>
      </c>
      <c r="F357" s="4">
        <v>24</v>
      </c>
      <c r="G357" s="4">
        <v>43</v>
      </c>
      <c r="H357" s="5">
        <v>33.9</v>
      </c>
      <c r="J357" s="6" t="str">
        <f t="shared" si="16"/>
        <v>+24</v>
      </c>
      <c r="K357" s="6" t="str">
        <f t="shared" si="17"/>
        <v>+43</v>
      </c>
      <c r="L357" s="6" t="str">
        <f t="shared" si="18"/>
        <v>+33,9</v>
      </c>
      <c r="N357" s="2">
        <v>24</v>
      </c>
      <c r="O357" s="2">
        <v>43</v>
      </c>
      <c r="P357" s="2">
        <v>33.9</v>
      </c>
    </row>
    <row r="358" spans="1:16" x14ac:dyDescent="0.25">
      <c r="A358" s="3" t="s">
        <v>370</v>
      </c>
      <c r="B358" s="4">
        <v>4</v>
      </c>
      <c r="C358" s="4">
        <v>33</v>
      </c>
      <c r="D358" s="5">
        <v>38.659999999999997</v>
      </c>
      <c r="E358" s="5" t="s">
        <v>1</v>
      </c>
      <c r="F358" s="4">
        <v>24</v>
      </c>
      <c r="G358" s="4">
        <v>42</v>
      </c>
      <c r="H358" s="5">
        <v>12.8</v>
      </c>
      <c r="J358" s="6" t="str">
        <f t="shared" si="16"/>
        <v>+24</v>
      </c>
      <c r="K358" s="6" t="str">
        <f t="shared" si="17"/>
        <v>+42</v>
      </c>
      <c r="L358" s="6" t="str">
        <f t="shared" si="18"/>
        <v>+12,8</v>
      </c>
      <c r="N358" s="2">
        <v>24</v>
      </c>
      <c r="O358" s="2">
        <v>42</v>
      </c>
      <c r="P358" s="2">
        <v>12.8</v>
      </c>
    </row>
    <row r="359" spans="1:16" x14ac:dyDescent="0.25">
      <c r="A359" s="3" t="s">
        <v>371</v>
      </c>
      <c r="B359" s="4">
        <v>4</v>
      </c>
      <c r="C359" s="4">
        <v>32</v>
      </c>
      <c r="D359" s="5">
        <v>30.54</v>
      </c>
      <c r="E359" s="5" t="s">
        <v>1</v>
      </c>
      <c r="F359" s="4">
        <v>24</v>
      </c>
      <c r="G359" s="4">
        <v>40</v>
      </c>
      <c r="H359" s="5">
        <v>51.7</v>
      </c>
      <c r="J359" s="6" t="str">
        <f t="shared" si="16"/>
        <v>+24</v>
      </c>
      <c r="K359" s="6" t="str">
        <f t="shared" si="17"/>
        <v>+40</v>
      </c>
      <c r="L359" s="6" t="str">
        <f t="shared" si="18"/>
        <v>+51,7</v>
      </c>
      <c r="N359" s="2">
        <v>24</v>
      </c>
      <c r="O359" s="2">
        <v>40</v>
      </c>
      <c r="P359" s="2">
        <v>51.7</v>
      </c>
    </row>
    <row r="360" spans="1:16" x14ac:dyDescent="0.25">
      <c r="A360" s="3" t="s">
        <v>372</v>
      </c>
      <c r="B360" s="4">
        <v>4</v>
      </c>
      <c r="C360" s="4">
        <v>31</v>
      </c>
      <c r="D360" s="5">
        <v>25.75</v>
      </c>
      <c r="E360" s="5" t="s">
        <v>1</v>
      </c>
      <c r="F360" s="4">
        <v>24</v>
      </c>
      <c r="G360" s="4">
        <v>39</v>
      </c>
      <c r="H360" s="5">
        <v>31.3</v>
      </c>
      <c r="J360" s="6" t="str">
        <f t="shared" si="16"/>
        <v>+24</v>
      </c>
      <c r="K360" s="6" t="str">
        <f t="shared" si="17"/>
        <v>+39</v>
      </c>
      <c r="L360" s="6" t="str">
        <f t="shared" si="18"/>
        <v>+31,3</v>
      </c>
      <c r="N360" s="2">
        <v>24</v>
      </c>
      <c r="O360" s="2">
        <v>39</v>
      </c>
      <c r="P360" s="2">
        <v>31.3</v>
      </c>
    </row>
    <row r="361" spans="1:16" x14ac:dyDescent="0.25">
      <c r="A361" s="3" t="s">
        <v>373</v>
      </c>
      <c r="B361" s="4">
        <v>4</v>
      </c>
      <c r="C361" s="4">
        <v>30</v>
      </c>
      <c r="D361" s="5">
        <v>24.34</v>
      </c>
      <c r="E361" s="5" t="s">
        <v>1</v>
      </c>
      <c r="F361" s="4">
        <v>24</v>
      </c>
      <c r="G361" s="4">
        <v>38</v>
      </c>
      <c r="H361" s="5">
        <v>12</v>
      </c>
      <c r="J361" s="6" t="str">
        <f t="shared" si="16"/>
        <v>+24</v>
      </c>
      <c r="K361" s="6" t="str">
        <f t="shared" si="17"/>
        <v>+38</v>
      </c>
      <c r="L361" s="6" t="str">
        <f t="shared" si="18"/>
        <v>+12</v>
      </c>
      <c r="N361" s="2">
        <v>24</v>
      </c>
      <c r="O361" s="2">
        <v>38</v>
      </c>
      <c r="P361" s="2">
        <v>12</v>
      </c>
    </row>
    <row r="362" spans="1:16" x14ac:dyDescent="0.25">
      <c r="A362" s="3" t="s">
        <v>374</v>
      </c>
      <c r="B362" s="4">
        <v>4</v>
      </c>
      <c r="C362" s="4">
        <v>29</v>
      </c>
      <c r="D362" s="5">
        <v>26.41</v>
      </c>
      <c r="E362" s="5" t="s">
        <v>1</v>
      </c>
      <c r="F362" s="4">
        <v>24</v>
      </c>
      <c r="G362" s="4">
        <v>36</v>
      </c>
      <c r="H362" s="5">
        <v>54.2</v>
      </c>
      <c r="J362" s="6" t="str">
        <f t="shared" si="16"/>
        <v>+24</v>
      </c>
      <c r="K362" s="6" t="str">
        <f t="shared" si="17"/>
        <v>+36</v>
      </c>
      <c r="L362" s="6" t="str">
        <f t="shared" si="18"/>
        <v>+54,2</v>
      </c>
      <c r="N362" s="2">
        <v>24</v>
      </c>
      <c r="O362" s="2">
        <v>36</v>
      </c>
      <c r="P362" s="2">
        <v>54.2</v>
      </c>
    </row>
    <row r="363" spans="1:16" x14ac:dyDescent="0.25">
      <c r="A363" s="3" t="s">
        <v>375</v>
      </c>
      <c r="B363" s="4">
        <v>4</v>
      </c>
      <c r="C363" s="4">
        <v>28</v>
      </c>
      <c r="D363" s="5">
        <v>31.99</v>
      </c>
      <c r="E363" s="5" t="s">
        <v>1</v>
      </c>
      <c r="F363" s="4">
        <v>24</v>
      </c>
      <c r="G363" s="4">
        <v>35</v>
      </c>
      <c r="H363" s="5">
        <v>38.6</v>
      </c>
      <c r="J363" s="6" t="str">
        <f t="shared" si="16"/>
        <v>+24</v>
      </c>
      <c r="K363" s="6" t="str">
        <f t="shared" si="17"/>
        <v>+35</v>
      </c>
      <c r="L363" s="6" t="str">
        <f t="shared" si="18"/>
        <v>+38,6</v>
      </c>
      <c r="N363" s="2">
        <v>24</v>
      </c>
      <c r="O363" s="2">
        <v>35</v>
      </c>
      <c r="P363" s="2">
        <v>38.6</v>
      </c>
    </row>
    <row r="364" spans="1:16" x14ac:dyDescent="0.25">
      <c r="A364" s="3" t="s">
        <v>376</v>
      </c>
      <c r="B364" s="4">
        <v>4</v>
      </c>
      <c r="C364" s="4">
        <v>27</v>
      </c>
      <c r="D364" s="5">
        <v>41.14</v>
      </c>
      <c r="E364" s="5" t="s">
        <v>1</v>
      </c>
      <c r="F364" s="4">
        <v>24</v>
      </c>
      <c r="G364" s="4">
        <v>34</v>
      </c>
      <c r="H364" s="5">
        <v>25.4</v>
      </c>
      <c r="J364" s="6" t="str">
        <f t="shared" si="16"/>
        <v>+24</v>
      </c>
      <c r="K364" s="6" t="str">
        <f t="shared" si="17"/>
        <v>+34</v>
      </c>
      <c r="L364" s="6" t="str">
        <f t="shared" si="18"/>
        <v>+25,4</v>
      </c>
      <c r="N364" s="2">
        <v>24</v>
      </c>
      <c r="O364" s="2">
        <v>34</v>
      </c>
      <c r="P364" s="2">
        <v>25.4</v>
      </c>
    </row>
    <row r="365" spans="1:16" x14ac:dyDescent="0.25">
      <c r="A365" s="3" t="s">
        <v>377</v>
      </c>
      <c r="B365" s="4">
        <v>4</v>
      </c>
      <c r="C365" s="4">
        <v>26</v>
      </c>
      <c r="D365" s="5">
        <v>53.87</v>
      </c>
      <c r="E365" s="5" t="s">
        <v>1</v>
      </c>
      <c r="F365" s="4">
        <v>24</v>
      </c>
      <c r="G365" s="4">
        <v>33</v>
      </c>
      <c r="H365" s="5">
        <v>15.2</v>
      </c>
      <c r="J365" s="6" t="str">
        <f t="shared" si="16"/>
        <v>+24</v>
      </c>
      <c r="K365" s="6" t="str">
        <f t="shared" si="17"/>
        <v>+33</v>
      </c>
      <c r="L365" s="6" t="str">
        <f t="shared" si="18"/>
        <v>+15,2</v>
      </c>
      <c r="N365" s="2">
        <v>24</v>
      </c>
      <c r="O365" s="2">
        <v>33</v>
      </c>
      <c r="P365" s="2">
        <v>15.2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9101-6778-436C-B43F-B68AF5E64A52}">
  <dimension ref="A1:P365"/>
  <sheetViews>
    <sheetView workbookViewId="0">
      <selection activeCell="N1" sqref="N1:P365"/>
    </sheetView>
  </sheetViews>
  <sheetFormatPr defaultRowHeight="15" x14ac:dyDescent="0.25"/>
  <cols>
    <col min="1" max="8" width="11.42578125" bestFit="1" customWidth="1"/>
  </cols>
  <sheetData>
    <row r="1" spans="1:16" x14ac:dyDescent="0.25">
      <c r="A1" s="1">
        <v>44562</v>
      </c>
      <c r="B1">
        <v>19</v>
      </c>
      <c r="C1">
        <v>37</v>
      </c>
      <c r="D1">
        <v>15.87</v>
      </c>
      <c r="E1" s="2" t="s">
        <v>0</v>
      </c>
      <c r="F1">
        <v>18</v>
      </c>
      <c r="G1">
        <v>37</v>
      </c>
      <c r="H1">
        <v>55.1</v>
      </c>
      <c r="J1" t="str">
        <f>$E1&amp;F1</f>
        <v>-18</v>
      </c>
      <c r="K1" t="str">
        <f t="shared" ref="K1:L1" si="0">$E1&amp;G1</f>
        <v>-37</v>
      </c>
      <c r="L1" t="str">
        <f t="shared" si="0"/>
        <v>-55,1</v>
      </c>
      <c r="N1" s="2">
        <v>-18</v>
      </c>
      <c r="O1" s="2">
        <v>-37</v>
      </c>
      <c r="P1" s="2">
        <v>-55.1</v>
      </c>
    </row>
    <row r="2" spans="1:16" x14ac:dyDescent="0.25">
      <c r="A2" s="1">
        <v>44563</v>
      </c>
      <c r="B2">
        <v>19</v>
      </c>
      <c r="C2">
        <v>35</v>
      </c>
      <c r="D2">
        <v>0.39</v>
      </c>
      <c r="E2" s="2" t="s">
        <v>0</v>
      </c>
      <c r="F2">
        <v>18</v>
      </c>
      <c r="G2">
        <v>27</v>
      </c>
      <c r="H2">
        <v>23.1</v>
      </c>
      <c r="J2" t="str">
        <f t="shared" ref="J2:J65" si="1">$E2&amp;F2</f>
        <v>-18</v>
      </c>
      <c r="K2" t="str">
        <f t="shared" ref="K2:K65" si="2">$E2&amp;G2</f>
        <v>-27</v>
      </c>
      <c r="L2" t="str">
        <f t="shared" ref="L2:L65" si="3">$E2&amp;H2</f>
        <v>-23,1</v>
      </c>
      <c r="N2" s="2">
        <v>-18</v>
      </c>
      <c r="O2" s="2">
        <v>-27</v>
      </c>
      <c r="P2" s="2">
        <v>-23.1</v>
      </c>
    </row>
    <row r="3" spans="1:16" x14ac:dyDescent="0.25">
      <c r="A3" s="1">
        <v>44564</v>
      </c>
      <c r="B3">
        <v>19</v>
      </c>
      <c r="C3">
        <v>32</v>
      </c>
      <c r="D3">
        <v>38.67</v>
      </c>
      <c r="E3" s="2" t="s">
        <v>0</v>
      </c>
      <c r="F3">
        <v>18</v>
      </c>
      <c r="G3">
        <v>17</v>
      </c>
      <c r="H3">
        <v>6.6</v>
      </c>
      <c r="J3" t="str">
        <f t="shared" si="1"/>
        <v>-18</v>
      </c>
      <c r="K3" t="str">
        <f t="shared" si="2"/>
        <v>-17</v>
      </c>
      <c r="L3" t="str">
        <f t="shared" si="3"/>
        <v>-6,6</v>
      </c>
      <c r="N3" s="2">
        <v>-18</v>
      </c>
      <c r="O3" s="2">
        <v>-17</v>
      </c>
      <c r="P3" s="2">
        <v>-6.6</v>
      </c>
    </row>
    <row r="4" spans="1:16" x14ac:dyDescent="0.25">
      <c r="A4" s="1">
        <v>44565</v>
      </c>
      <c r="B4">
        <v>19</v>
      </c>
      <c r="C4">
        <v>30</v>
      </c>
      <c r="D4">
        <v>11.56</v>
      </c>
      <c r="E4" s="2" t="s">
        <v>0</v>
      </c>
      <c r="F4">
        <v>18</v>
      </c>
      <c r="G4">
        <v>7</v>
      </c>
      <c r="H4">
        <v>6.7</v>
      </c>
      <c r="J4" t="str">
        <f t="shared" si="1"/>
        <v>-18</v>
      </c>
      <c r="K4" t="str">
        <f t="shared" si="2"/>
        <v>-7</v>
      </c>
      <c r="L4" t="str">
        <f t="shared" si="3"/>
        <v>-6,7</v>
      </c>
      <c r="N4" s="2">
        <v>-18</v>
      </c>
      <c r="O4" s="2">
        <v>-7</v>
      </c>
      <c r="P4" s="2">
        <v>-6.7</v>
      </c>
    </row>
    <row r="5" spans="1:16" x14ac:dyDescent="0.25">
      <c r="A5" s="1">
        <v>44566</v>
      </c>
      <c r="B5">
        <v>19</v>
      </c>
      <c r="C5">
        <v>27</v>
      </c>
      <c r="D5">
        <v>39.950000000000003</v>
      </c>
      <c r="E5" s="2" t="s">
        <v>0</v>
      </c>
      <c r="F5">
        <v>17</v>
      </c>
      <c r="G5">
        <v>57</v>
      </c>
      <c r="H5">
        <v>24.5</v>
      </c>
      <c r="J5" t="str">
        <f t="shared" si="1"/>
        <v>-17</v>
      </c>
      <c r="K5" t="str">
        <f t="shared" si="2"/>
        <v>-57</v>
      </c>
      <c r="L5" t="str">
        <f t="shared" si="3"/>
        <v>-24,5</v>
      </c>
      <c r="N5" s="2">
        <v>-17</v>
      </c>
      <c r="O5" s="2">
        <v>-57</v>
      </c>
      <c r="P5" s="2">
        <v>-24.5</v>
      </c>
    </row>
    <row r="6" spans="1:16" x14ac:dyDescent="0.25">
      <c r="A6" s="1">
        <v>44567</v>
      </c>
      <c r="B6">
        <v>19</v>
      </c>
      <c r="C6">
        <v>25</v>
      </c>
      <c r="D6">
        <v>4.79</v>
      </c>
      <c r="E6" s="2" t="s">
        <v>0</v>
      </c>
      <c r="F6">
        <v>17</v>
      </c>
      <c r="G6">
        <v>48</v>
      </c>
      <c r="H6">
        <v>1.1000000000000001</v>
      </c>
      <c r="J6" t="str">
        <f t="shared" si="1"/>
        <v>-17</v>
      </c>
      <c r="K6" t="str">
        <f t="shared" si="2"/>
        <v>-48</v>
      </c>
      <c r="L6" t="str">
        <f t="shared" si="3"/>
        <v>-1,1</v>
      </c>
      <c r="N6" s="2">
        <v>-17</v>
      </c>
      <c r="O6" s="2">
        <v>-48</v>
      </c>
      <c r="P6" s="2">
        <v>-1.1000000000000001</v>
      </c>
    </row>
    <row r="7" spans="1:16" x14ac:dyDescent="0.25">
      <c r="A7" s="1">
        <v>44568</v>
      </c>
      <c r="B7">
        <v>19</v>
      </c>
      <c r="C7">
        <v>22</v>
      </c>
      <c r="D7">
        <v>27.08</v>
      </c>
      <c r="E7" s="2" t="s">
        <v>0</v>
      </c>
      <c r="F7">
        <v>17</v>
      </c>
      <c r="G7">
        <v>38</v>
      </c>
      <c r="H7">
        <v>57.9</v>
      </c>
      <c r="J7" t="str">
        <f t="shared" si="1"/>
        <v>-17</v>
      </c>
      <c r="K7" t="str">
        <f t="shared" si="2"/>
        <v>-38</v>
      </c>
      <c r="L7" t="str">
        <f t="shared" si="3"/>
        <v>-57,9</v>
      </c>
      <c r="N7" s="2">
        <v>-17</v>
      </c>
      <c r="O7" s="2">
        <v>-38</v>
      </c>
      <c r="P7" s="2">
        <v>-57.9</v>
      </c>
    </row>
    <row r="8" spans="1:16" x14ac:dyDescent="0.25">
      <c r="A8" s="1">
        <v>44569</v>
      </c>
      <c r="B8">
        <v>19</v>
      </c>
      <c r="C8">
        <v>19</v>
      </c>
      <c r="D8">
        <v>47.87</v>
      </c>
      <c r="E8" s="2" t="s">
        <v>0</v>
      </c>
      <c r="F8">
        <v>17</v>
      </c>
      <c r="G8">
        <v>30</v>
      </c>
      <c r="H8">
        <v>16.100000000000001</v>
      </c>
      <c r="J8" t="str">
        <f t="shared" si="1"/>
        <v>-17</v>
      </c>
      <c r="K8" t="str">
        <f t="shared" si="2"/>
        <v>-30</v>
      </c>
      <c r="L8" t="str">
        <f t="shared" si="3"/>
        <v>-16,1</v>
      </c>
      <c r="N8" s="2">
        <v>-17</v>
      </c>
      <c r="O8" s="2">
        <v>-30</v>
      </c>
      <c r="P8" s="2">
        <v>-16.100000000000001</v>
      </c>
    </row>
    <row r="9" spans="1:16" x14ac:dyDescent="0.25">
      <c r="A9" s="1">
        <v>44570</v>
      </c>
      <c r="B9">
        <v>19</v>
      </c>
      <c r="C9">
        <v>17</v>
      </c>
      <c r="D9">
        <v>8.2200000000000006</v>
      </c>
      <c r="E9" s="2" t="s">
        <v>0</v>
      </c>
      <c r="F9">
        <v>17</v>
      </c>
      <c r="G9">
        <v>21</v>
      </c>
      <c r="H9">
        <v>56.9</v>
      </c>
      <c r="J9" t="str">
        <f t="shared" si="1"/>
        <v>-17</v>
      </c>
      <c r="K9" t="str">
        <f t="shared" si="2"/>
        <v>-21</v>
      </c>
      <c r="L9" t="str">
        <f t="shared" si="3"/>
        <v>-56,9</v>
      </c>
      <c r="N9" s="2">
        <v>-17</v>
      </c>
      <c r="O9" s="2">
        <v>-21</v>
      </c>
      <c r="P9" s="2">
        <v>-56.9</v>
      </c>
    </row>
    <row r="10" spans="1:16" x14ac:dyDescent="0.25">
      <c r="A10" s="1">
        <v>44571</v>
      </c>
      <c r="B10">
        <v>19</v>
      </c>
      <c r="C10">
        <v>14</v>
      </c>
      <c r="D10">
        <v>29.21</v>
      </c>
      <c r="E10" s="2" t="s">
        <v>0</v>
      </c>
      <c r="F10">
        <v>17</v>
      </c>
      <c r="G10">
        <v>14</v>
      </c>
      <c r="H10">
        <v>1.6</v>
      </c>
      <c r="J10" t="str">
        <f t="shared" si="1"/>
        <v>-17</v>
      </c>
      <c r="K10" t="str">
        <f t="shared" si="2"/>
        <v>-14</v>
      </c>
      <c r="L10" t="str">
        <f t="shared" si="3"/>
        <v>-1,6</v>
      </c>
      <c r="N10" s="2">
        <v>-17</v>
      </c>
      <c r="O10" s="2">
        <v>-14</v>
      </c>
      <c r="P10" s="2">
        <v>-1.6</v>
      </c>
    </row>
    <row r="11" spans="1:16" x14ac:dyDescent="0.25">
      <c r="A11" s="1">
        <v>44572</v>
      </c>
      <c r="B11">
        <v>19</v>
      </c>
      <c r="C11">
        <v>11</v>
      </c>
      <c r="D11">
        <v>51.89</v>
      </c>
      <c r="E11" s="2" t="s">
        <v>0</v>
      </c>
      <c r="F11">
        <v>17</v>
      </c>
      <c r="G11">
        <v>6</v>
      </c>
      <c r="H11">
        <v>31.3</v>
      </c>
      <c r="J11" t="str">
        <f t="shared" si="1"/>
        <v>-17</v>
      </c>
      <c r="K11" t="str">
        <f t="shared" si="2"/>
        <v>-6</v>
      </c>
      <c r="L11" t="str">
        <f t="shared" si="3"/>
        <v>-31,3</v>
      </c>
      <c r="N11" s="2">
        <v>-17</v>
      </c>
      <c r="O11" s="2">
        <v>-6</v>
      </c>
      <c r="P11" s="2">
        <v>-31.3</v>
      </c>
    </row>
    <row r="12" spans="1:16" x14ac:dyDescent="0.25">
      <c r="A12" s="1">
        <v>44573</v>
      </c>
      <c r="B12">
        <v>19</v>
      </c>
      <c r="C12">
        <v>9</v>
      </c>
      <c r="D12">
        <v>17.329999999999998</v>
      </c>
      <c r="E12" s="2" t="s">
        <v>0</v>
      </c>
      <c r="F12">
        <v>16</v>
      </c>
      <c r="G12">
        <v>59</v>
      </c>
      <c r="H12">
        <v>27.2</v>
      </c>
      <c r="J12" t="str">
        <f t="shared" si="1"/>
        <v>-16</v>
      </c>
      <c r="K12" t="str">
        <f t="shared" si="2"/>
        <v>-59</v>
      </c>
      <c r="L12" t="str">
        <f t="shared" si="3"/>
        <v>-27,2</v>
      </c>
      <c r="N12" s="2">
        <v>-16</v>
      </c>
      <c r="O12" s="2">
        <v>-59</v>
      </c>
      <c r="P12" s="2">
        <v>-27.2</v>
      </c>
    </row>
    <row r="13" spans="1:16" x14ac:dyDescent="0.25">
      <c r="A13" s="1">
        <v>44574</v>
      </c>
      <c r="B13">
        <v>19</v>
      </c>
      <c r="C13">
        <v>6</v>
      </c>
      <c r="D13">
        <v>46.54</v>
      </c>
      <c r="E13" s="2" t="s">
        <v>0</v>
      </c>
      <c r="F13">
        <v>16</v>
      </c>
      <c r="G13">
        <v>52</v>
      </c>
      <c r="H13">
        <v>50.4</v>
      </c>
      <c r="J13" t="str">
        <f t="shared" si="1"/>
        <v>-16</v>
      </c>
      <c r="K13" t="str">
        <f t="shared" si="2"/>
        <v>-52</v>
      </c>
      <c r="L13" t="str">
        <f t="shared" si="3"/>
        <v>-50,4</v>
      </c>
      <c r="N13" s="2">
        <v>-16</v>
      </c>
      <c r="O13" s="2">
        <v>-52</v>
      </c>
      <c r="P13" s="2">
        <v>-50.4</v>
      </c>
    </row>
    <row r="14" spans="1:16" x14ac:dyDescent="0.25">
      <c r="A14" s="1">
        <v>44575</v>
      </c>
      <c r="B14">
        <v>19</v>
      </c>
      <c r="C14">
        <v>4</v>
      </c>
      <c r="D14">
        <v>20.49</v>
      </c>
      <c r="E14" s="2" t="s">
        <v>0</v>
      </c>
      <c r="F14">
        <v>16</v>
      </c>
      <c r="G14">
        <v>46</v>
      </c>
      <c r="H14">
        <v>41.8</v>
      </c>
      <c r="J14" t="str">
        <f t="shared" si="1"/>
        <v>-16</v>
      </c>
      <c r="K14" t="str">
        <f t="shared" si="2"/>
        <v>-46</v>
      </c>
      <c r="L14" t="str">
        <f t="shared" si="3"/>
        <v>-41,8</v>
      </c>
      <c r="N14" s="2">
        <v>-16</v>
      </c>
      <c r="O14" s="2">
        <v>-46</v>
      </c>
      <c r="P14" s="2">
        <v>-41.8</v>
      </c>
    </row>
    <row r="15" spans="1:16" x14ac:dyDescent="0.25">
      <c r="A15" s="1">
        <v>44576</v>
      </c>
      <c r="B15">
        <v>19</v>
      </c>
      <c r="C15">
        <v>2</v>
      </c>
      <c r="D15">
        <v>0.09</v>
      </c>
      <c r="E15" s="2" t="s">
        <v>0</v>
      </c>
      <c r="F15">
        <v>16</v>
      </c>
      <c r="G15">
        <v>41</v>
      </c>
      <c r="H15">
        <v>2</v>
      </c>
      <c r="J15" t="str">
        <f t="shared" si="1"/>
        <v>-16</v>
      </c>
      <c r="K15" t="str">
        <f t="shared" si="2"/>
        <v>-41</v>
      </c>
      <c r="L15" t="str">
        <f t="shared" si="3"/>
        <v>-2</v>
      </c>
      <c r="N15" s="2">
        <v>-16</v>
      </c>
      <c r="O15" s="2">
        <v>-41</v>
      </c>
      <c r="P15" s="2">
        <v>-2</v>
      </c>
    </row>
    <row r="16" spans="1:16" x14ac:dyDescent="0.25">
      <c r="A16" s="1">
        <v>44577</v>
      </c>
      <c r="B16">
        <v>18</v>
      </c>
      <c r="C16">
        <v>59</v>
      </c>
      <c r="D16">
        <v>46.18</v>
      </c>
      <c r="E16" s="2" t="s">
        <v>0</v>
      </c>
      <c r="F16">
        <v>16</v>
      </c>
      <c r="G16">
        <v>35</v>
      </c>
      <c r="H16">
        <v>51.8</v>
      </c>
      <c r="J16" t="str">
        <f t="shared" si="1"/>
        <v>-16</v>
      </c>
      <c r="K16" t="str">
        <f t="shared" si="2"/>
        <v>-35</v>
      </c>
      <c r="L16" t="str">
        <f t="shared" si="3"/>
        <v>-51,8</v>
      </c>
      <c r="N16" s="2">
        <v>-16</v>
      </c>
      <c r="O16" s="2">
        <v>-35</v>
      </c>
      <c r="P16" s="2">
        <v>-51.8</v>
      </c>
    </row>
    <row r="17" spans="1:16" x14ac:dyDescent="0.25">
      <c r="A17" s="1">
        <v>44578</v>
      </c>
      <c r="B17">
        <v>18</v>
      </c>
      <c r="C17">
        <v>57</v>
      </c>
      <c r="D17">
        <v>39.54</v>
      </c>
      <c r="E17" s="2" t="s">
        <v>0</v>
      </c>
      <c r="F17">
        <v>16</v>
      </c>
      <c r="G17">
        <v>31</v>
      </c>
      <c r="H17">
        <v>11.6</v>
      </c>
      <c r="J17" t="str">
        <f t="shared" si="1"/>
        <v>-16</v>
      </c>
      <c r="K17" t="str">
        <f t="shared" si="2"/>
        <v>-31</v>
      </c>
      <c r="L17" t="str">
        <f t="shared" si="3"/>
        <v>-11,6</v>
      </c>
      <c r="N17" s="2">
        <v>-16</v>
      </c>
      <c r="O17" s="2">
        <v>-31</v>
      </c>
      <c r="P17" s="2">
        <v>-11.6</v>
      </c>
    </row>
    <row r="18" spans="1:16" x14ac:dyDescent="0.25">
      <c r="A18" s="1">
        <v>44579</v>
      </c>
      <c r="B18">
        <v>18</v>
      </c>
      <c r="C18">
        <v>55</v>
      </c>
      <c r="D18">
        <v>40.86</v>
      </c>
      <c r="E18" s="2" t="s">
        <v>0</v>
      </c>
      <c r="F18">
        <v>16</v>
      </c>
      <c r="G18">
        <v>27</v>
      </c>
      <c r="H18">
        <v>1.7</v>
      </c>
      <c r="J18" t="str">
        <f t="shared" si="1"/>
        <v>-16</v>
      </c>
      <c r="K18" t="str">
        <f t="shared" si="2"/>
        <v>-27</v>
      </c>
      <c r="L18" t="str">
        <f t="shared" si="3"/>
        <v>-1,7</v>
      </c>
      <c r="N18" s="2">
        <v>-16</v>
      </c>
      <c r="O18" s="2">
        <v>-27</v>
      </c>
      <c r="P18" s="2">
        <v>-1.7</v>
      </c>
    </row>
    <row r="19" spans="1:16" x14ac:dyDescent="0.25">
      <c r="A19" s="1">
        <v>44580</v>
      </c>
      <c r="B19">
        <v>18</v>
      </c>
      <c r="C19">
        <v>53</v>
      </c>
      <c r="D19">
        <v>50.75</v>
      </c>
      <c r="E19" s="2" t="s">
        <v>0</v>
      </c>
      <c r="F19">
        <v>16</v>
      </c>
      <c r="G19">
        <v>23</v>
      </c>
      <c r="H19">
        <v>22</v>
      </c>
      <c r="J19" t="str">
        <f t="shared" si="1"/>
        <v>-16</v>
      </c>
      <c r="K19" t="str">
        <f t="shared" si="2"/>
        <v>-23</v>
      </c>
      <c r="L19" t="str">
        <f t="shared" si="3"/>
        <v>-22</v>
      </c>
      <c r="N19" s="2">
        <v>-16</v>
      </c>
      <c r="O19" s="2">
        <v>-23</v>
      </c>
      <c r="P19" s="2">
        <v>-22</v>
      </c>
    </row>
    <row r="20" spans="1:16" x14ac:dyDescent="0.25">
      <c r="A20" s="1">
        <v>44581</v>
      </c>
      <c r="B20">
        <v>18</v>
      </c>
      <c r="C20">
        <v>52</v>
      </c>
      <c r="D20">
        <v>9.7200000000000006</v>
      </c>
      <c r="E20" s="2" t="s">
        <v>0</v>
      </c>
      <c r="F20">
        <v>16</v>
      </c>
      <c r="G20">
        <v>20</v>
      </c>
      <c r="H20">
        <v>12.4</v>
      </c>
      <c r="J20" t="str">
        <f t="shared" si="1"/>
        <v>-16</v>
      </c>
      <c r="K20" t="str">
        <f t="shared" si="2"/>
        <v>-20</v>
      </c>
      <c r="L20" t="str">
        <f t="shared" si="3"/>
        <v>-12,4</v>
      </c>
      <c r="N20" s="2">
        <v>-16</v>
      </c>
      <c r="O20" s="2">
        <v>-20</v>
      </c>
      <c r="P20" s="2">
        <v>-12.4</v>
      </c>
    </row>
    <row r="21" spans="1:16" x14ac:dyDescent="0.25">
      <c r="A21" s="1">
        <v>44582</v>
      </c>
      <c r="B21">
        <v>18</v>
      </c>
      <c r="C21">
        <v>50</v>
      </c>
      <c r="D21">
        <v>38.229999999999997</v>
      </c>
      <c r="E21" s="2" t="s">
        <v>0</v>
      </c>
      <c r="F21">
        <v>16</v>
      </c>
      <c r="G21">
        <v>17</v>
      </c>
      <c r="H21">
        <v>32.6</v>
      </c>
      <c r="J21" t="str">
        <f t="shared" si="1"/>
        <v>-16</v>
      </c>
      <c r="K21" t="str">
        <f t="shared" si="2"/>
        <v>-17</v>
      </c>
      <c r="L21" t="str">
        <f t="shared" si="3"/>
        <v>-32,6</v>
      </c>
      <c r="N21" s="2">
        <v>-16</v>
      </c>
      <c r="O21" s="2">
        <v>-17</v>
      </c>
      <c r="P21" s="2">
        <v>-32.6</v>
      </c>
    </row>
    <row r="22" spans="1:16" x14ac:dyDescent="0.25">
      <c r="A22" s="1">
        <v>44583</v>
      </c>
      <c r="B22">
        <v>18</v>
      </c>
      <c r="C22">
        <v>49</v>
      </c>
      <c r="D22">
        <v>16.63</v>
      </c>
      <c r="E22" s="2" t="s">
        <v>0</v>
      </c>
      <c r="F22">
        <v>16</v>
      </c>
      <c r="G22">
        <v>15</v>
      </c>
      <c r="H22">
        <v>21.9</v>
      </c>
      <c r="J22" t="str">
        <f t="shared" si="1"/>
        <v>-16</v>
      </c>
      <c r="K22" t="str">
        <f t="shared" si="2"/>
        <v>-15</v>
      </c>
      <c r="L22" t="str">
        <f t="shared" si="3"/>
        <v>-21,9</v>
      </c>
      <c r="N22" s="2">
        <v>-16</v>
      </c>
      <c r="O22" s="2">
        <v>-15</v>
      </c>
      <c r="P22" s="2">
        <v>-21.9</v>
      </c>
    </row>
    <row r="23" spans="1:16" x14ac:dyDescent="0.25">
      <c r="A23" s="1">
        <v>44584</v>
      </c>
      <c r="B23">
        <v>18</v>
      </c>
      <c r="C23">
        <v>48</v>
      </c>
      <c r="D23">
        <v>5.18</v>
      </c>
      <c r="E23" s="2" t="s">
        <v>0</v>
      </c>
      <c r="F23">
        <v>16</v>
      </c>
      <c r="G23">
        <v>13</v>
      </c>
      <c r="H23">
        <v>39.700000000000003</v>
      </c>
      <c r="J23" t="str">
        <f t="shared" si="1"/>
        <v>-16</v>
      </c>
      <c r="K23" t="str">
        <f t="shared" si="2"/>
        <v>-13</v>
      </c>
      <c r="L23" t="str">
        <f t="shared" si="3"/>
        <v>-39,7</v>
      </c>
      <c r="N23" s="2">
        <v>-16</v>
      </c>
      <c r="O23" s="2">
        <v>-13</v>
      </c>
      <c r="P23" s="2">
        <v>-39.700000000000003</v>
      </c>
    </row>
    <row r="24" spans="1:16" x14ac:dyDescent="0.25">
      <c r="A24" s="1">
        <v>44585</v>
      </c>
      <c r="B24">
        <v>18</v>
      </c>
      <c r="C24">
        <v>47</v>
      </c>
      <c r="D24">
        <v>4.0999999999999996</v>
      </c>
      <c r="E24" s="2" t="s">
        <v>0</v>
      </c>
      <c r="F24">
        <v>16</v>
      </c>
      <c r="G24">
        <v>12</v>
      </c>
      <c r="H24">
        <v>24.9</v>
      </c>
      <c r="J24" t="str">
        <f t="shared" si="1"/>
        <v>-16</v>
      </c>
      <c r="K24" t="str">
        <f t="shared" si="2"/>
        <v>-12</v>
      </c>
      <c r="L24" t="str">
        <f t="shared" si="3"/>
        <v>-24,9</v>
      </c>
      <c r="N24" s="2">
        <v>-16</v>
      </c>
      <c r="O24" s="2">
        <v>-12</v>
      </c>
      <c r="P24" s="2">
        <v>-24.9</v>
      </c>
    </row>
    <row r="25" spans="1:16" x14ac:dyDescent="0.25">
      <c r="A25" s="1">
        <v>44586</v>
      </c>
      <c r="B25">
        <v>18</v>
      </c>
      <c r="C25">
        <v>46</v>
      </c>
      <c r="D25">
        <v>13.5</v>
      </c>
      <c r="E25" s="2" t="s">
        <v>0</v>
      </c>
      <c r="F25">
        <v>16</v>
      </c>
      <c r="G25">
        <v>11</v>
      </c>
      <c r="H25">
        <v>36.5</v>
      </c>
      <c r="J25" t="str">
        <f t="shared" si="1"/>
        <v>-16</v>
      </c>
      <c r="K25" t="str">
        <f t="shared" si="2"/>
        <v>-11</v>
      </c>
      <c r="L25" t="str">
        <f t="shared" si="3"/>
        <v>-36,5</v>
      </c>
      <c r="N25" s="2">
        <v>-16</v>
      </c>
      <c r="O25" s="2">
        <v>-11</v>
      </c>
      <c r="P25" s="2">
        <v>-36.5</v>
      </c>
    </row>
    <row r="26" spans="1:16" x14ac:dyDescent="0.25">
      <c r="A26" s="1">
        <v>44587</v>
      </c>
      <c r="B26">
        <v>18</v>
      </c>
      <c r="C26">
        <v>45</v>
      </c>
      <c r="D26">
        <v>33.450000000000003</v>
      </c>
      <c r="E26" s="2" t="s">
        <v>0</v>
      </c>
      <c r="F26">
        <v>16</v>
      </c>
      <c r="G26">
        <v>11</v>
      </c>
      <c r="H26">
        <v>13.3</v>
      </c>
      <c r="J26" t="str">
        <f t="shared" si="1"/>
        <v>-16</v>
      </c>
      <c r="K26" t="str">
        <f t="shared" si="2"/>
        <v>-11</v>
      </c>
      <c r="L26" t="str">
        <f t="shared" si="3"/>
        <v>-13,3</v>
      </c>
      <c r="N26" s="2">
        <v>-16</v>
      </c>
      <c r="O26" s="2">
        <v>-11</v>
      </c>
      <c r="P26" s="2">
        <v>-13.3</v>
      </c>
    </row>
    <row r="27" spans="1:16" x14ac:dyDescent="0.25">
      <c r="A27" s="1">
        <v>44588</v>
      </c>
      <c r="B27">
        <v>18</v>
      </c>
      <c r="C27">
        <v>45</v>
      </c>
      <c r="D27">
        <v>3.95</v>
      </c>
      <c r="E27" s="2" t="s">
        <v>0</v>
      </c>
      <c r="F27">
        <v>16</v>
      </c>
      <c r="G27">
        <v>11</v>
      </c>
      <c r="H27">
        <v>13.8</v>
      </c>
      <c r="J27" t="str">
        <f t="shared" si="1"/>
        <v>-16</v>
      </c>
      <c r="K27" t="str">
        <f t="shared" si="2"/>
        <v>-11</v>
      </c>
      <c r="L27" t="str">
        <f t="shared" si="3"/>
        <v>-13,8</v>
      </c>
      <c r="N27" s="2">
        <v>-16</v>
      </c>
      <c r="O27" s="2">
        <v>-11</v>
      </c>
      <c r="P27" s="2">
        <v>-13.8</v>
      </c>
    </row>
    <row r="28" spans="1:16" x14ac:dyDescent="0.25">
      <c r="A28" s="1">
        <v>44589</v>
      </c>
      <c r="B28">
        <v>18</v>
      </c>
      <c r="C28">
        <v>44</v>
      </c>
      <c r="D28">
        <v>44.95</v>
      </c>
      <c r="E28" s="2" t="s">
        <v>0</v>
      </c>
      <c r="F28">
        <v>16</v>
      </c>
      <c r="G28">
        <v>11</v>
      </c>
      <c r="H28">
        <v>36.5</v>
      </c>
      <c r="J28" t="str">
        <f t="shared" si="1"/>
        <v>-16</v>
      </c>
      <c r="K28" t="str">
        <f t="shared" si="2"/>
        <v>-11</v>
      </c>
      <c r="L28" t="str">
        <f t="shared" si="3"/>
        <v>-36,5</v>
      </c>
      <c r="N28" s="2">
        <v>-16</v>
      </c>
      <c r="O28" s="2">
        <v>-11</v>
      </c>
      <c r="P28" s="2">
        <v>-36.5</v>
      </c>
    </row>
    <row r="29" spans="1:16" x14ac:dyDescent="0.25">
      <c r="A29" s="1">
        <v>44590</v>
      </c>
      <c r="B29">
        <v>18</v>
      </c>
      <c r="C29">
        <v>44</v>
      </c>
      <c r="D29">
        <v>36.35</v>
      </c>
      <c r="E29" s="2" t="s">
        <v>0</v>
      </c>
      <c r="F29">
        <v>16</v>
      </c>
      <c r="G29">
        <v>12</v>
      </c>
      <c r="H29">
        <v>19.899999999999999</v>
      </c>
      <c r="J29" t="str">
        <f t="shared" si="1"/>
        <v>-16</v>
      </c>
      <c r="K29" t="str">
        <f t="shared" si="2"/>
        <v>-12</v>
      </c>
      <c r="L29" t="str">
        <f t="shared" si="3"/>
        <v>-19,9</v>
      </c>
      <c r="N29" s="2">
        <v>-16</v>
      </c>
      <c r="O29" s="2">
        <v>-12</v>
      </c>
      <c r="P29" s="2">
        <v>-19.899999999999999</v>
      </c>
    </row>
    <row r="30" spans="1:16" x14ac:dyDescent="0.25">
      <c r="A30" s="1">
        <v>44591</v>
      </c>
      <c r="B30">
        <v>18</v>
      </c>
      <c r="C30">
        <v>44</v>
      </c>
      <c r="D30">
        <v>38.01</v>
      </c>
      <c r="E30" s="2" t="s">
        <v>0</v>
      </c>
      <c r="F30">
        <v>16</v>
      </c>
      <c r="G30">
        <v>13</v>
      </c>
      <c r="H30">
        <v>22.3</v>
      </c>
      <c r="J30" t="str">
        <f t="shared" si="1"/>
        <v>-16</v>
      </c>
      <c r="K30" t="str">
        <f t="shared" si="2"/>
        <v>-13</v>
      </c>
      <c r="L30" t="str">
        <f t="shared" si="3"/>
        <v>-22,3</v>
      </c>
      <c r="N30" s="2">
        <v>-16</v>
      </c>
      <c r="O30" s="2">
        <v>-13</v>
      </c>
      <c r="P30" s="2">
        <v>-22.3</v>
      </c>
    </row>
    <row r="31" spans="1:16" x14ac:dyDescent="0.25">
      <c r="A31" s="1">
        <v>44592</v>
      </c>
      <c r="B31">
        <v>18</v>
      </c>
      <c r="C31">
        <v>44</v>
      </c>
      <c r="D31">
        <v>49.75</v>
      </c>
      <c r="E31" s="2" t="s">
        <v>0</v>
      </c>
      <c r="F31">
        <v>16</v>
      </c>
      <c r="G31">
        <v>14</v>
      </c>
      <c r="H31">
        <v>42.1</v>
      </c>
      <c r="J31" t="str">
        <f t="shared" si="1"/>
        <v>-16</v>
      </c>
      <c r="K31" t="str">
        <f t="shared" si="2"/>
        <v>-14</v>
      </c>
      <c r="L31" t="str">
        <f t="shared" si="3"/>
        <v>-42,1</v>
      </c>
      <c r="N31" s="2">
        <v>-16</v>
      </c>
      <c r="O31" s="2">
        <v>-14</v>
      </c>
      <c r="P31" s="2">
        <v>-42.1</v>
      </c>
    </row>
    <row r="32" spans="1:16" x14ac:dyDescent="0.25">
      <c r="A32" s="1">
        <v>44593</v>
      </c>
      <c r="B32">
        <v>18</v>
      </c>
      <c r="C32">
        <v>45</v>
      </c>
      <c r="D32">
        <v>11.38</v>
      </c>
      <c r="E32" s="2" t="s">
        <v>0</v>
      </c>
      <c r="F32">
        <v>16</v>
      </c>
      <c r="G32">
        <v>16</v>
      </c>
      <c r="H32">
        <v>17.600000000000001</v>
      </c>
      <c r="J32" t="str">
        <f t="shared" si="1"/>
        <v>-16</v>
      </c>
      <c r="K32" t="str">
        <f t="shared" si="2"/>
        <v>-16</v>
      </c>
      <c r="L32" t="str">
        <f t="shared" si="3"/>
        <v>-17,6</v>
      </c>
      <c r="N32" s="2">
        <v>-16</v>
      </c>
      <c r="O32" s="2">
        <v>-16</v>
      </c>
      <c r="P32" s="2">
        <v>-17.600000000000001</v>
      </c>
    </row>
    <row r="33" spans="1:16" x14ac:dyDescent="0.25">
      <c r="A33" s="1">
        <v>44594</v>
      </c>
      <c r="B33">
        <v>18</v>
      </c>
      <c r="C33">
        <v>45</v>
      </c>
      <c r="D33">
        <v>42.67</v>
      </c>
      <c r="E33" s="2" t="s">
        <v>0</v>
      </c>
      <c r="F33">
        <v>16</v>
      </c>
      <c r="G33">
        <v>18</v>
      </c>
      <c r="H33">
        <v>6.9</v>
      </c>
      <c r="J33" t="str">
        <f t="shared" si="1"/>
        <v>-16</v>
      </c>
      <c r="K33" t="str">
        <f t="shared" si="2"/>
        <v>-18</v>
      </c>
      <c r="L33" t="str">
        <f t="shared" si="3"/>
        <v>-6,9</v>
      </c>
      <c r="N33" s="2">
        <v>-16</v>
      </c>
      <c r="O33" s="2">
        <v>-18</v>
      </c>
      <c r="P33" s="2">
        <v>-6.9</v>
      </c>
    </row>
    <row r="34" spans="1:16" x14ac:dyDescent="0.25">
      <c r="A34" s="1">
        <v>44595</v>
      </c>
      <c r="B34">
        <v>18</v>
      </c>
      <c r="C34">
        <v>46</v>
      </c>
      <c r="D34">
        <v>23.4</v>
      </c>
      <c r="E34" s="2" t="s">
        <v>0</v>
      </c>
      <c r="F34">
        <v>16</v>
      </c>
      <c r="G34">
        <v>20</v>
      </c>
      <c r="H34">
        <v>8.3000000000000007</v>
      </c>
      <c r="J34" t="str">
        <f t="shared" si="1"/>
        <v>-16</v>
      </c>
      <c r="K34" t="str">
        <f t="shared" si="2"/>
        <v>-20</v>
      </c>
      <c r="L34" t="str">
        <f t="shared" si="3"/>
        <v>-8,3</v>
      </c>
      <c r="N34" s="2">
        <v>-16</v>
      </c>
      <c r="O34" s="2">
        <v>-20</v>
      </c>
      <c r="P34" s="2">
        <v>-8.3000000000000007</v>
      </c>
    </row>
    <row r="35" spans="1:16" x14ac:dyDescent="0.25">
      <c r="A35" s="1">
        <v>44596</v>
      </c>
      <c r="B35">
        <v>18</v>
      </c>
      <c r="C35">
        <v>47</v>
      </c>
      <c r="D35">
        <v>13.31</v>
      </c>
      <c r="E35" s="2" t="s">
        <v>0</v>
      </c>
      <c r="F35">
        <v>16</v>
      </c>
      <c r="G35">
        <v>22</v>
      </c>
      <c r="H35">
        <v>20.100000000000001</v>
      </c>
      <c r="J35" t="str">
        <f t="shared" si="1"/>
        <v>-16</v>
      </c>
      <c r="K35" t="str">
        <f t="shared" si="2"/>
        <v>-22</v>
      </c>
      <c r="L35" t="str">
        <f t="shared" si="3"/>
        <v>-20,1</v>
      </c>
      <c r="N35" s="2">
        <v>-16</v>
      </c>
      <c r="O35" s="2">
        <v>-22</v>
      </c>
      <c r="P35" s="2">
        <v>-20.100000000000001</v>
      </c>
    </row>
    <row r="36" spans="1:16" x14ac:dyDescent="0.25">
      <c r="A36" s="1">
        <v>44597</v>
      </c>
      <c r="B36">
        <v>18</v>
      </c>
      <c r="C36">
        <v>48</v>
      </c>
      <c r="D36">
        <v>12.17</v>
      </c>
      <c r="E36" s="2" t="s">
        <v>0</v>
      </c>
      <c r="F36">
        <v>16</v>
      </c>
      <c r="G36">
        <v>24</v>
      </c>
      <c r="H36">
        <v>40.6</v>
      </c>
      <c r="J36" t="str">
        <f t="shared" si="1"/>
        <v>-16</v>
      </c>
      <c r="K36" t="str">
        <f t="shared" si="2"/>
        <v>-24</v>
      </c>
      <c r="L36" t="str">
        <f t="shared" si="3"/>
        <v>-40,6</v>
      </c>
      <c r="N36" s="2">
        <v>-16</v>
      </c>
      <c r="O36" s="2">
        <v>-24</v>
      </c>
      <c r="P36" s="2">
        <v>-40.6</v>
      </c>
    </row>
    <row r="37" spans="1:16" x14ac:dyDescent="0.25">
      <c r="A37" s="1">
        <v>44598</v>
      </c>
      <c r="B37">
        <v>18</v>
      </c>
      <c r="C37">
        <v>49</v>
      </c>
      <c r="D37">
        <v>19.72</v>
      </c>
      <c r="E37" s="2" t="s">
        <v>0</v>
      </c>
      <c r="F37">
        <v>16</v>
      </c>
      <c r="G37">
        <v>27</v>
      </c>
      <c r="H37">
        <v>7.9</v>
      </c>
      <c r="J37" t="str">
        <f t="shared" si="1"/>
        <v>-16</v>
      </c>
      <c r="K37" t="str">
        <f t="shared" si="2"/>
        <v>-27</v>
      </c>
      <c r="L37" t="str">
        <f t="shared" si="3"/>
        <v>-7,9</v>
      </c>
      <c r="N37" s="2">
        <v>-16</v>
      </c>
      <c r="O37" s="2">
        <v>-27</v>
      </c>
      <c r="P37" s="2">
        <v>-7.9</v>
      </c>
    </row>
    <row r="38" spans="1:16" x14ac:dyDescent="0.25">
      <c r="A38" s="1">
        <v>44599</v>
      </c>
      <c r="B38">
        <v>18</v>
      </c>
      <c r="C38">
        <v>50</v>
      </c>
      <c r="D38">
        <v>35.700000000000003</v>
      </c>
      <c r="E38" s="2" t="s">
        <v>0</v>
      </c>
      <c r="F38">
        <v>16</v>
      </c>
      <c r="G38">
        <v>29</v>
      </c>
      <c r="H38">
        <v>40.4</v>
      </c>
      <c r="J38" t="str">
        <f t="shared" si="1"/>
        <v>-16</v>
      </c>
      <c r="K38" t="str">
        <f t="shared" si="2"/>
        <v>-29</v>
      </c>
      <c r="L38" t="str">
        <f t="shared" si="3"/>
        <v>-40,4</v>
      </c>
      <c r="N38" s="2">
        <v>-16</v>
      </c>
      <c r="O38" s="2">
        <v>-29</v>
      </c>
      <c r="P38" s="2">
        <v>-40.4</v>
      </c>
    </row>
    <row r="39" spans="1:16" x14ac:dyDescent="0.25">
      <c r="A39" s="1">
        <v>44600</v>
      </c>
      <c r="B39">
        <v>18</v>
      </c>
      <c r="C39">
        <v>51</v>
      </c>
      <c r="D39">
        <v>59.85</v>
      </c>
      <c r="E39" s="2" t="s">
        <v>0</v>
      </c>
      <c r="F39">
        <v>16</v>
      </c>
      <c r="G39">
        <v>32</v>
      </c>
      <c r="H39">
        <v>16.3</v>
      </c>
      <c r="J39" t="str">
        <f t="shared" si="1"/>
        <v>-16</v>
      </c>
      <c r="K39" t="str">
        <f t="shared" si="2"/>
        <v>-32</v>
      </c>
      <c r="L39" t="str">
        <f t="shared" si="3"/>
        <v>-16,3</v>
      </c>
      <c r="N39" s="2">
        <v>-16</v>
      </c>
      <c r="O39" s="2">
        <v>-32</v>
      </c>
      <c r="P39" s="2">
        <v>-16.3</v>
      </c>
    </row>
    <row r="40" spans="1:16" x14ac:dyDescent="0.25">
      <c r="A40" s="1">
        <v>44601</v>
      </c>
      <c r="B40">
        <v>18</v>
      </c>
      <c r="C40">
        <v>53</v>
      </c>
      <c r="D40">
        <v>31.92</v>
      </c>
      <c r="E40" s="2" t="s">
        <v>0</v>
      </c>
      <c r="F40">
        <v>16</v>
      </c>
      <c r="G40">
        <v>34</v>
      </c>
      <c r="H40">
        <v>53.9</v>
      </c>
      <c r="J40" t="str">
        <f t="shared" si="1"/>
        <v>-16</v>
      </c>
      <c r="K40" t="str">
        <f t="shared" si="2"/>
        <v>-34</v>
      </c>
      <c r="L40" t="str">
        <f t="shared" si="3"/>
        <v>-53,9</v>
      </c>
      <c r="N40" s="2">
        <v>-16</v>
      </c>
      <c r="O40" s="2">
        <v>-34</v>
      </c>
      <c r="P40" s="2">
        <v>-53.9</v>
      </c>
    </row>
    <row r="41" spans="1:16" x14ac:dyDescent="0.25">
      <c r="A41" s="1">
        <v>44602</v>
      </c>
      <c r="B41">
        <v>18</v>
      </c>
      <c r="C41">
        <v>55</v>
      </c>
      <c r="D41">
        <v>11.65</v>
      </c>
      <c r="E41" s="2" t="s">
        <v>0</v>
      </c>
      <c r="F41">
        <v>16</v>
      </c>
      <c r="G41">
        <v>37</v>
      </c>
      <c r="H41">
        <v>31.6</v>
      </c>
      <c r="J41" t="str">
        <f t="shared" si="1"/>
        <v>-16</v>
      </c>
      <c r="K41" t="str">
        <f t="shared" si="2"/>
        <v>-37</v>
      </c>
      <c r="L41" t="str">
        <f t="shared" si="3"/>
        <v>-31,6</v>
      </c>
      <c r="N41" s="2">
        <v>-16</v>
      </c>
      <c r="O41" s="2">
        <v>-37</v>
      </c>
      <c r="P41" s="2">
        <v>-31.6</v>
      </c>
    </row>
    <row r="42" spans="1:16" x14ac:dyDescent="0.25">
      <c r="A42" s="1">
        <v>44603</v>
      </c>
      <c r="B42">
        <v>18</v>
      </c>
      <c r="C42">
        <v>56</v>
      </c>
      <c r="D42">
        <v>58.78</v>
      </c>
      <c r="E42" s="2" t="s">
        <v>0</v>
      </c>
      <c r="F42">
        <v>16</v>
      </c>
      <c r="G42">
        <v>40</v>
      </c>
      <c r="H42">
        <v>7.7</v>
      </c>
      <c r="J42" t="str">
        <f t="shared" si="1"/>
        <v>-16</v>
      </c>
      <c r="K42" t="str">
        <f t="shared" si="2"/>
        <v>-40</v>
      </c>
      <c r="L42" t="str">
        <f t="shared" si="3"/>
        <v>-7,7</v>
      </c>
      <c r="N42" s="2">
        <v>-16</v>
      </c>
      <c r="O42" s="2">
        <v>-40</v>
      </c>
      <c r="P42" s="2">
        <v>-7.7</v>
      </c>
    </row>
    <row r="43" spans="1:16" x14ac:dyDescent="0.25">
      <c r="A43" s="1">
        <v>44604</v>
      </c>
      <c r="B43">
        <v>18</v>
      </c>
      <c r="C43">
        <v>58</v>
      </c>
      <c r="D43">
        <v>53.06</v>
      </c>
      <c r="E43" s="2" t="s">
        <v>0</v>
      </c>
      <c r="F43">
        <v>16</v>
      </c>
      <c r="G43">
        <v>42</v>
      </c>
      <c r="H43">
        <v>40.6</v>
      </c>
      <c r="J43" t="str">
        <f t="shared" si="1"/>
        <v>-16</v>
      </c>
      <c r="K43" t="str">
        <f t="shared" si="2"/>
        <v>-42</v>
      </c>
      <c r="L43" t="str">
        <f t="shared" si="3"/>
        <v>-40,6</v>
      </c>
      <c r="N43" s="2">
        <v>-16</v>
      </c>
      <c r="O43" s="2">
        <v>-42</v>
      </c>
      <c r="P43" s="2">
        <v>-40.6</v>
      </c>
    </row>
    <row r="44" spans="1:16" x14ac:dyDescent="0.25">
      <c r="A44" s="1">
        <v>44605</v>
      </c>
      <c r="B44">
        <v>19</v>
      </c>
      <c r="C44">
        <v>0</v>
      </c>
      <c r="D44">
        <v>54.25</v>
      </c>
      <c r="E44" s="2" t="s">
        <v>0</v>
      </c>
      <c r="F44">
        <v>16</v>
      </c>
      <c r="G44">
        <v>45</v>
      </c>
      <c r="H44">
        <v>8.9</v>
      </c>
      <c r="J44" t="str">
        <f t="shared" si="1"/>
        <v>-16</v>
      </c>
      <c r="K44" t="str">
        <f t="shared" si="2"/>
        <v>-45</v>
      </c>
      <c r="L44" t="str">
        <f t="shared" si="3"/>
        <v>-8,9</v>
      </c>
      <c r="N44" s="2">
        <v>-16</v>
      </c>
      <c r="O44" s="2">
        <v>-45</v>
      </c>
      <c r="P44" s="2">
        <v>-8.9</v>
      </c>
    </row>
    <row r="45" spans="1:16" x14ac:dyDescent="0.25">
      <c r="A45" s="1">
        <v>44606</v>
      </c>
      <c r="B45">
        <v>19</v>
      </c>
      <c r="C45">
        <v>3</v>
      </c>
      <c r="D45">
        <v>2.09</v>
      </c>
      <c r="E45" s="2" t="s">
        <v>0</v>
      </c>
      <c r="F45">
        <v>16</v>
      </c>
      <c r="G45">
        <v>47</v>
      </c>
      <c r="H45">
        <v>30.9</v>
      </c>
      <c r="J45" t="str">
        <f t="shared" si="1"/>
        <v>-16</v>
      </c>
      <c r="K45" t="str">
        <f t="shared" si="2"/>
        <v>-47</v>
      </c>
      <c r="L45" t="str">
        <f t="shared" si="3"/>
        <v>-30,9</v>
      </c>
      <c r="N45" s="2">
        <v>-16</v>
      </c>
      <c r="O45" s="2">
        <v>-47</v>
      </c>
      <c r="P45" s="2">
        <v>-30.9</v>
      </c>
    </row>
    <row r="46" spans="1:16" x14ac:dyDescent="0.25">
      <c r="A46" s="1">
        <v>44607</v>
      </c>
      <c r="B46">
        <v>19</v>
      </c>
      <c r="C46">
        <v>5</v>
      </c>
      <c r="D46">
        <v>16.350000000000001</v>
      </c>
      <c r="E46" s="2" t="s">
        <v>0</v>
      </c>
      <c r="F46">
        <v>16</v>
      </c>
      <c r="G46">
        <v>49</v>
      </c>
      <c r="H46">
        <v>45.2</v>
      </c>
      <c r="J46" t="str">
        <f t="shared" si="1"/>
        <v>-16</v>
      </c>
      <c r="K46" t="str">
        <f t="shared" si="2"/>
        <v>-49</v>
      </c>
      <c r="L46" t="str">
        <f t="shared" si="3"/>
        <v>-45,2</v>
      </c>
      <c r="N46" s="2">
        <v>-16</v>
      </c>
      <c r="O46" s="2">
        <v>-49</v>
      </c>
      <c r="P46" s="2">
        <v>-45.2</v>
      </c>
    </row>
    <row r="47" spans="1:16" x14ac:dyDescent="0.25">
      <c r="A47" s="1">
        <v>44608</v>
      </c>
      <c r="B47">
        <v>19</v>
      </c>
      <c r="C47">
        <v>7</v>
      </c>
      <c r="D47">
        <v>36.79</v>
      </c>
      <c r="E47" s="2" t="s">
        <v>0</v>
      </c>
      <c r="F47">
        <v>16</v>
      </c>
      <c r="G47">
        <v>51</v>
      </c>
      <c r="H47">
        <v>50.4</v>
      </c>
      <c r="J47" t="str">
        <f t="shared" si="1"/>
        <v>-16</v>
      </c>
      <c r="K47" t="str">
        <f t="shared" si="2"/>
        <v>-51</v>
      </c>
      <c r="L47" t="str">
        <f t="shared" si="3"/>
        <v>-50,4</v>
      </c>
      <c r="N47" s="2">
        <v>-16</v>
      </c>
      <c r="O47" s="2">
        <v>-51</v>
      </c>
      <c r="P47" s="2">
        <v>-50.4</v>
      </c>
    </row>
    <row r="48" spans="1:16" x14ac:dyDescent="0.25">
      <c r="A48" s="1">
        <v>44609</v>
      </c>
      <c r="B48">
        <v>19</v>
      </c>
      <c r="C48">
        <v>10</v>
      </c>
      <c r="D48">
        <v>3.18</v>
      </c>
      <c r="E48" s="2" t="s">
        <v>0</v>
      </c>
      <c r="F48">
        <v>16</v>
      </c>
      <c r="G48">
        <v>53</v>
      </c>
      <c r="H48">
        <v>45.1</v>
      </c>
      <c r="J48" t="str">
        <f t="shared" si="1"/>
        <v>-16</v>
      </c>
      <c r="K48" t="str">
        <f t="shared" si="2"/>
        <v>-53</v>
      </c>
      <c r="L48" t="str">
        <f t="shared" si="3"/>
        <v>-45,1</v>
      </c>
      <c r="N48" s="2">
        <v>-16</v>
      </c>
      <c r="O48" s="2">
        <v>-53</v>
      </c>
      <c r="P48" s="2">
        <v>-45.1</v>
      </c>
    </row>
    <row r="49" spans="1:16" x14ac:dyDescent="0.25">
      <c r="A49" s="1">
        <v>44610</v>
      </c>
      <c r="B49">
        <v>19</v>
      </c>
      <c r="C49">
        <v>12</v>
      </c>
      <c r="D49">
        <v>35.299999999999997</v>
      </c>
      <c r="E49" s="2" t="s">
        <v>0</v>
      </c>
      <c r="F49">
        <v>16</v>
      </c>
      <c r="G49">
        <v>55</v>
      </c>
      <c r="H49">
        <v>28</v>
      </c>
      <c r="J49" t="str">
        <f t="shared" si="1"/>
        <v>-16</v>
      </c>
      <c r="K49" t="str">
        <f t="shared" si="2"/>
        <v>-55</v>
      </c>
      <c r="L49" t="str">
        <f t="shared" si="3"/>
        <v>-28</v>
      </c>
      <c r="N49" s="2">
        <v>-16</v>
      </c>
      <c r="O49" s="2">
        <v>-55</v>
      </c>
      <c r="P49" s="2">
        <v>-28</v>
      </c>
    </row>
    <row r="50" spans="1:16" x14ac:dyDescent="0.25">
      <c r="A50" s="1">
        <v>44611</v>
      </c>
      <c r="B50">
        <v>19</v>
      </c>
      <c r="C50">
        <v>15</v>
      </c>
      <c r="D50">
        <v>12.91</v>
      </c>
      <c r="E50" s="2" t="s">
        <v>0</v>
      </c>
      <c r="F50">
        <v>16</v>
      </c>
      <c r="G50">
        <v>56</v>
      </c>
      <c r="H50">
        <v>57.8</v>
      </c>
      <c r="J50" t="str">
        <f t="shared" si="1"/>
        <v>-16</v>
      </c>
      <c r="K50" t="str">
        <f t="shared" si="2"/>
        <v>-56</v>
      </c>
      <c r="L50" t="str">
        <f t="shared" si="3"/>
        <v>-57,8</v>
      </c>
      <c r="N50" s="2">
        <v>-16</v>
      </c>
      <c r="O50" s="2">
        <v>-56</v>
      </c>
      <c r="P50" s="2">
        <v>-57.8</v>
      </c>
    </row>
    <row r="51" spans="1:16" x14ac:dyDescent="0.25">
      <c r="A51" s="1">
        <v>44612</v>
      </c>
      <c r="B51">
        <v>19</v>
      </c>
      <c r="C51">
        <v>17</v>
      </c>
      <c r="D51">
        <v>55.81</v>
      </c>
      <c r="E51" s="2" t="s">
        <v>0</v>
      </c>
      <c r="F51">
        <v>16</v>
      </c>
      <c r="G51">
        <v>58</v>
      </c>
      <c r="H51">
        <v>13.4</v>
      </c>
      <c r="J51" t="str">
        <f t="shared" si="1"/>
        <v>-16</v>
      </c>
      <c r="K51" t="str">
        <f t="shared" si="2"/>
        <v>-58</v>
      </c>
      <c r="L51" t="str">
        <f t="shared" si="3"/>
        <v>-13,4</v>
      </c>
      <c r="N51" s="2">
        <v>-16</v>
      </c>
      <c r="O51" s="2">
        <v>-58</v>
      </c>
      <c r="P51" s="2">
        <v>-13.4</v>
      </c>
    </row>
    <row r="52" spans="1:16" x14ac:dyDescent="0.25">
      <c r="A52" s="1">
        <v>44613</v>
      </c>
      <c r="B52">
        <v>19</v>
      </c>
      <c r="C52">
        <v>20</v>
      </c>
      <c r="D52">
        <v>43.77</v>
      </c>
      <c r="E52" s="2" t="s">
        <v>0</v>
      </c>
      <c r="F52">
        <v>16</v>
      </c>
      <c r="G52">
        <v>59</v>
      </c>
      <c r="H52">
        <v>13.4</v>
      </c>
      <c r="J52" t="str">
        <f t="shared" si="1"/>
        <v>-16</v>
      </c>
      <c r="K52" t="str">
        <f t="shared" si="2"/>
        <v>-59</v>
      </c>
      <c r="L52" t="str">
        <f t="shared" si="3"/>
        <v>-13,4</v>
      </c>
      <c r="N52" s="2">
        <v>-16</v>
      </c>
      <c r="O52" s="2">
        <v>-59</v>
      </c>
      <c r="P52" s="2">
        <v>-13.4</v>
      </c>
    </row>
    <row r="53" spans="1:16" x14ac:dyDescent="0.25">
      <c r="A53" s="1">
        <v>44614</v>
      </c>
      <c r="B53">
        <v>19</v>
      </c>
      <c r="C53">
        <v>23</v>
      </c>
      <c r="D53">
        <v>36.6</v>
      </c>
      <c r="E53" s="2" t="s">
        <v>0</v>
      </c>
      <c r="F53">
        <v>16</v>
      </c>
      <c r="G53">
        <v>59</v>
      </c>
      <c r="H53">
        <v>56.9</v>
      </c>
      <c r="J53" t="str">
        <f t="shared" si="1"/>
        <v>-16</v>
      </c>
      <c r="K53" t="str">
        <f t="shared" si="2"/>
        <v>-59</v>
      </c>
      <c r="L53" t="str">
        <f t="shared" si="3"/>
        <v>-56,9</v>
      </c>
      <c r="N53" s="2">
        <v>-16</v>
      </c>
      <c r="O53" s="2">
        <v>-59</v>
      </c>
      <c r="P53" s="2">
        <v>-56.9</v>
      </c>
    </row>
    <row r="54" spans="1:16" x14ac:dyDescent="0.25">
      <c r="A54" s="1">
        <v>44615</v>
      </c>
      <c r="B54">
        <v>19</v>
      </c>
      <c r="C54">
        <v>26</v>
      </c>
      <c r="D54">
        <v>34.08</v>
      </c>
      <c r="E54" s="2" t="s">
        <v>0</v>
      </c>
      <c r="F54">
        <v>17</v>
      </c>
      <c r="G54">
        <v>0</v>
      </c>
      <c r="H54">
        <v>22.8</v>
      </c>
      <c r="J54" t="str">
        <f t="shared" si="1"/>
        <v>-17</v>
      </c>
      <c r="K54" t="str">
        <f t="shared" si="2"/>
        <v>-0</v>
      </c>
      <c r="L54" t="str">
        <f t="shared" si="3"/>
        <v>-22,8</v>
      </c>
      <c r="N54" s="2">
        <v>-17</v>
      </c>
      <c r="O54" s="2">
        <v>0</v>
      </c>
      <c r="P54" s="2">
        <v>-22.8</v>
      </c>
    </row>
    <row r="55" spans="1:16" x14ac:dyDescent="0.25">
      <c r="A55" s="1">
        <v>44616</v>
      </c>
      <c r="B55">
        <v>19</v>
      </c>
      <c r="C55">
        <v>29</v>
      </c>
      <c r="D55">
        <v>36.01</v>
      </c>
      <c r="E55" s="2" t="s">
        <v>0</v>
      </c>
      <c r="F55">
        <v>17</v>
      </c>
      <c r="G55">
        <v>0</v>
      </c>
      <c r="H55">
        <v>30</v>
      </c>
      <c r="J55" t="str">
        <f t="shared" si="1"/>
        <v>-17</v>
      </c>
      <c r="K55" t="str">
        <f t="shared" si="2"/>
        <v>-0</v>
      </c>
      <c r="L55" t="str">
        <f t="shared" si="3"/>
        <v>-30</v>
      </c>
      <c r="N55" s="2">
        <v>-17</v>
      </c>
      <c r="O55" s="2">
        <v>0</v>
      </c>
      <c r="P55" s="2">
        <v>-30</v>
      </c>
    </row>
    <row r="56" spans="1:16" x14ac:dyDescent="0.25">
      <c r="A56" s="1">
        <v>44617</v>
      </c>
      <c r="B56">
        <v>19</v>
      </c>
      <c r="C56">
        <v>32</v>
      </c>
      <c r="D56">
        <v>42.19</v>
      </c>
      <c r="E56" s="2" t="s">
        <v>0</v>
      </c>
      <c r="F56">
        <v>17</v>
      </c>
      <c r="G56">
        <v>0</v>
      </c>
      <c r="H56">
        <v>17.7</v>
      </c>
      <c r="J56" t="str">
        <f t="shared" si="1"/>
        <v>-17</v>
      </c>
      <c r="K56" t="str">
        <f t="shared" si="2"/>
        <v>-0</v>
      </c>
      <c r="L56" t="str">
        <f t="shared" si="3"/>
        <v>-17,7</v>
      </c>
      <c r="N56" s="2">
        <v>-17</v>
      </c>
      <c r="O56" s="2">
        <v>0</v>
      </c>
      <c r="P56" s="2">
        <v>-17.7</v>
      </c>
    </row>
    <row r="57" spans="1:16" x14ac:dyDescent="0.25">
      <c r="A57" s="1">
        <v>44618</v>
      </c>
      <c r="B57">
        <v>19</v>
      </c>
      <c r="C57">
        <v>35</v>
      </c>
      <c r="D57">
        <v>52.42</v>
      </c>
      <c r="E57" s="2" t="s">
        <v>0</v>
      </c>
      <c r="F57">
        <v>16</v>
      </c>
      <c r="G57">
        <v>59</v>
      </c>
      <c r="H57">
        <v>45</v>
      </c>
      <c r="J57" t="str">
        <f t="shared" si="1"/>
        <v>-16</v>
      </c>
      <c r="K57" t="str">
        <f t="shared" si="2"/>
        <v>-59</v>
      </c>
      <c r="L57" t="str">
        <f t="shared" si="3"/>
        <v>-45</v>
      </c>
      <c r="N57" s="2">
        <v>-16</v>
      </c>
      <c r="O57" s="2">
        <v>-59</v>
      </c>
      <c r="P57" s="2">
        <v>-45</v>
      </c>
    </row>
    <row r="58" spans="1:16" x14ac:dyDescent="0.25">
      <c r="A58" s="1">
        <v>44619</v>
      </c>
      <c r="B58">
        <v>19</v>
      </c>
      <c r="C58">
        <v>39</v>
      </c>
      <c r="D58">
        <v>6.53</v>
      </c>
      <c r="E58" s="2" t="s">
        <v>0</v>
      </c>
      <c r="F58">
        <v>16</v>
      </c>
      <c r="G58">
        <v>58</v>
      </c>
      <c r="H58">
        <v>51.1</v>
      </c>
      <c r="J58" t="str">
        <f t="shared" si="1"/>
        <v>-16</v>
      </c>
      <c r="K58" t="str">
        <f t="shared" si="2"/>
        <v>-58</v>
      </c>
      <c r="L58" t="str">
        <f t="shared" si="3"/>
        <v>-51,1</v>
      </c>
      <c r="N58" s="2">
        <v>-16</v>
      </c>
      <c r="O58" s="2">
        <v>-58</v>
      </c>
      <c r="P58" s="2">
        <v>-51.1</v>
      </c>
    </row>
    <row r="59" spans="1:16" x14ac:dyDescent="0.25">
      <c r="A59" s="1">
        <v>44620</v>
      </c>
      <c r="B59">
        <v>19</v>
      </c>
      <c r="C59">
        <v>42</v>
      </c>
      <c r="D59">
        <v>24.32</v>
      </c>
      <c r="E59" s="2" t="s">
        <v>0</v>
      </c>
      <c r="F59">
        <v>16</v>
      </c>
      <c r="G59">
        <v>57</v>
      </c>
      <c r="H59">
        <v>35.200000000000003</v>
      </c>
      <c r="J59" t="str">
        <f t="shared" si="1"/>
        <v>-16</v>
      </c>
      <c r="K59" t="str">
        <f t="shared" si="2"/>
        <v>-57</v>
      </c>
      <c r="L59" t="str">
        <f t="shared" si="3"/>
        <v>-35,2</v>
      </c>
      <c r="N59" s="2">
        <v>-16</v>
      </c>
      <c r="O59" s="2">
        <v>-57</v>
      </c>
      <c r="P59" s="2">
        <v>-35.200000000000003</v>
      </c>
    </row>
    <row r="60" spans="1:16" x14ac:dyDescent="0.25">
      <c r="A60" s="1">
        <v>44621</v>
      </c>
      <c r="B60">
        <v>19</v>
      </c>
      <c r="C60">
        <v>45</v>
      </c>
      <c r="D60">
        <v>45.62</v>
      </c>
      <c r="E60" s="2" t="s">
        <v>0</v>
      </c>
      <c r="F60">
        <v>16</v>
      </c>
      <c r="G60">
        <v>55</v>
      </c>
      <c r="H60">
        <v>56.6</v>
      </c>
      <c r="J60" t="str">
        <f t="shared" si="1"/>
        <v>-16</v>
      </c>
      <c r="K60" t="str">
        <f t="shared" si="2"/>
        <v>-55</v>
      </c>
      <c r="L60" t="str">
        <f t="shared" si="3"/>
        <v>-56,6</v>
      </c>
      <c r="N60" s="2">
        <v>-16</v>
      </c>
      <c r="O60" s="2">
        <v>-55</v>
      </c>
      <c r="P60" s="2">
        <v>-56.6</v>
      </c>
    </row>
    <row r="61" spans="1:16" x14ac:dyDescent="0.25">
      <c r="A61" s="1">
        <v>44622</v>
      </c>
      <c r="B61">
        <v>19</v>
      </c>
      <c r="C61">
        <v>49</v>
      </c>
      <c r="D61">
        <v>10.25</v>
      </c>
      <c r="E61" s="2" t="s">
        <v>0</v>
      </c>
      <c r="F61">
        <v>16</v>
      </c>
      <c r="G61">
        <v>53</v>
      </c>
      <c r="H61">
        <v>54.7</v>
      </c>
      <c r="J61" t="str">
        <f t="shared" si="1"/>
        <v>-16</v>
      </c>
      <c r="K61" t="str">
        <f t="shared" si="2"/>
        <v>-53</v>
      </c>
      <c r="L61" t="str">
        <f t="shared" si="3"/>
        <v>-54,7</v>
      </c>
      <c r="N61" s="2">
        <v>-16</v>
      </c>
      <c r="O61" s="2">
        <v>-53</v>
      </c>
      <c r="P61" s="2">
        <v>-54.7</v>
      </c>
    </row>
    <row r="62" spans="1:16" x14ac:dyDescent="0.25">
      <c r="A62" s="1">
        <v>44623</v>
      </c>
      <c r="B62">
        <v>19</v>
      </c>
      <c r="C62">
        <v>52</v>
      </c>
      <c r="D62">
        <v>38.04</v>
      </c>
      <c r="E62" s="2" t="s">
        <v>0</v>
      </c>
      <c r="F62">
        <v>16</v>
      </c>
      <c r="G62">
        <v>51</v>
      </c>
      <c r="H62">
        <v>29</v>
      </c>
      <c r="J62" t="str">
        <f t="shared" si="1"/>
        <v>-16</v>
      </c>
      <c r="K62" t="str">
        <f t="shared" si="2"/>
        <v>-51</v>
      </c>
      <c r="L62" t="str">
        <f t="shared" si="3"/>
        <v>-29</v>
      </c>
      <c r="N62" s="2">
        <v>-16</v>
      </c>
      <c r="O62" s="2">
        <v>-51</v>
      </c>
      <c r="P62" s="2">
        <v>-29</v>
      </c>
    </row>
    <row r="63" spans="1:16" x14ac:dyDescent="0.25">
      <c r="A63" s="1">
        <v>44624</v>
      </c>
      <c r="B63">
        <v>19</v>
      </c>
      <c r="C63">
        <v>56</v>
      </c>
      <c r="D63">
        <v>8.86</v>
      </c>
      <c r="E63" s="2" t="s">
        <v>0</v>
      </c>
      <c r="F63">
        <v>16</v>
      </c>
      <c r="G63">
        <v>48</v>
      </c>
      <c r="H63">
        <v>38.799999999999997</v>
      </c>
      <c r="J63" t="str">
        <f t="shared" si="1"/>
        <v>-16</v>
      </c>
      <c r="K63" t="str">
        <f t="shared" si="2"/>
        <v>-48</v>
      </c>
      <c r="L63" t="str">
        <f t="shared" si="3"/>
        <v>-38,8</v>
      </c>
      <c r="N63" s="2">
        <v>-16</v>
      </c>
      <c r="O63" s="2">
        <v>-48</v>
      </c>
      <c r="P63" s="2">
        <v>-38.799999999999997</v>
      </c>
    </row>
    <row r="64" spans="1:16" x14ac:dyDescent="0.25">
      <c r="A64" s="1">
        <v>44625</v>
      </c>
      <c r="B64">
        <v>19</v>
      </c>
      <c r="C64">
        <v>59</v>
      </c>
      <c r="D64">
        <v>42.53</v>
      </c>
      <c r="E64" s="2" t="s">
        <v>0</v>
      </c>
      <c r="F64">
        <v>16</v>
      </c>
      <c r="G64">
        <v>45</v>
      </c>
      <c r="H64">
        <v>23.7</v>
      </c>
      <c r="J64" t="str">
        <f t="shared" si="1"/>
        <v>-16</v>
      </c>
      <c r="K64" t="str">
        <f t="shared" si="2"/>
        <v>-45</v>
      </c>
      <c r="L64" t="str">
        <f t="shared" si="3"/>
        <v>-23,7</v>
      </c>
      <c r="N64" s="2">
        <v>-16</v>
      </c>
      <c r="O64" s="2">
        <v>-45</v>
      </c>
      <c r="P64" s="2">
        <v>-23.7</v>
      </c>
    </row>
    <row r="65" spans="1:16" x14ac:dyDescent="0.25">
      <c r="A65" s="1">
        <v>44626</v>
      </c>
      <c r="B65">
        <v>20</v>
      </c>
      <c r="C65">
        <v>3</v>
      </c>
      <c r="D65">
        <v>18.920000000000002</v>
      </c>
      <c r="E65" s="2" t="s">
        <v>0</v>
      </c>
      <c r="F65">
        <v>16</v>
      </c>
      <c r="G65">
        <v>41</v>
      </c>
      <c r="H65">
        <v>43.2</v>
      </c>
      <c r="J65" t="str">
        <f t="shared" si="1"/>
        <v>-16</v>
      </c>
      <c r="K65" t="str">
        <f t="shared" si="2"/>
        <v>-41</v>
      </c>
      <c r="L65" t="str">
        <f t="shared" si="3"/>
        <v>-43,2</v>
      </c>
      <c r="N65" s="2">
        <v>-16</v>
      </c>
      <c r="O65" s="2">
        <v>-41</v>
      </c>
      <c r="P65" s="2">
        <v>-43.2</v>
      </c>
    </row>
    <row r="66" spans="1:16" x14ac:dyDescent="0.25">
      <c r="A66" s="1">
        <v>44627</v>
      </c>
      <c r="B66">
        <v>20</v>
      </c>
      <c r="C66">
        <v>6</v>
      </c>
      <c r="D66">
        <v>57.9</v>
      </c>
      <c r="E66" s="2" t="s">
        <v>0</v>
      </c>
      <c r="F66">
        <v>16</v>
      </c>
      <c r="G66">
        <v>37</v>
      </c>
      <c r="H66">
        <v>37</v>
      </c>
      <c r="J66" t="str">
        <f t="shared" ref="J66:J129" si="4">$E66&amp;F66</f>
        <v>-16</v>
      </c>
      <c r="K66" t="str">
        <f t="shared" ref="K66:K129" si="5">$E66&amp;G66</f>
        <v>-37</v>
      </c>
      <c r="L66" t="str">
        <f t="shared" ref="L66:L129" si="6">$E66&amp;H66</f>
        <v>-37</v>
      </c>
      <c r="N66" s="2">
        <v>-16</v>
      </c>
      <c r="O66" s="2">
        <v>-37</v>
      </c>
      <c r="P66" s="2">
        <v>-37</v>
      </c>
    </row>
    <row r="67" spans="1:16" x14ac:dyDescent="0.25">
      <c r="A67" s="1">
        <v>44628</v>
      </c>
      <c r="B67">
        <v>20</v>
      </c>
      <c r="C67">
        <v>10</v>
      </c>
      <c r="D67">
        <v>39.33</v>
      </c>
      <c r="E67" s="2" t="s">
        <v>0</v>
      </c>
      <c r="F67">
        <v>16</v>
      </c>
      <c r="G67">
        <v>33</v>
      </c>
      <c r="H67">
        <v>4.5999999999999996</v>
      </c>
      <c r="J67" t="str">
        <f t="shared" si="4"/>
        <v>-16</v>
      </c>
      <c r="K67" t="str">
        <f t="shared" si="5"/>
        <v>-33</v>
      </c>
      <c r="L67" t="str">
        <f t="shared" si="6"/>
        <v>-4,6</v>
      </c>
      <c r="N67" s="2">
        <v>-16</v>
      </c>
      <c r="O67" s="2">
        <v>-33</v>
      </c>
      <c r="P67" s="2">
        <v>-4.5999999999999996</v>
      </c>
    </row>
    <row r="68" spans="1:16" x14ac:dyDescent="0.25">
      <c r="A68" s="1">
        <v>44629</v>
      </c>
      <c r="B68">
        <v>20</v>
      </c>
      <c r="C68">
        <v>14</v>
      </c>
      <c r="D68">
        <v>23.08</v>
      </c>
      <c r="E68" s="2" t="s">
        <v>0</v>
      </c>
      <c r="F68">
        <v>16</v>
      </c>
      <c r="G68">
        <v>28</v>
      </c>
      <c r="H68">
        <v>5.6</v>
      </c>
      <c r="J68" t="str">
        <f t="shared" si="4"/>
        <v>-16</v>
      </c>
      <c r="K68" t="str">
        <f t="shared" si="5"/>
        <v>-28</v>
      </c>
      <c r="L68" t="str">
        <f t="shared" si="6"/>
        <v>-5,6</v>
      </c>
      <c r="N68" s="2">
        <v>-16</v>
      </c>
      <c r="O68" s="2">
        <v>-28</v>
      </c>
      <c r="P68" s="2">
        <v>-5.6</v>
      </c>
    </row>
    <row r="69" spans="1:16" x14ac:dyDescent="0.25">
      <c r="A69" s="1">
        <v>44630</v>
      </c>
      <c r="B69">
        <v>20</v>
      </c>
      <c r="C69">
        <v>18</v>
      </c>
      <c r="D69">
        <v>9.0500000000000007</v>
      </c>
      <c r="E69" s="2" t="s">
        <v>0</v>
      </c>
      <c r="F69">
        <v>16</v>
      </c>
      <c r="G69">
        <v>22</v>
      </c>
      <c r="H69">
        <v>39.9</v>
      </c>
      <c r="J69" t="str">
        <f t="shared" si="4"/>
        <v>-16</v>
      </c>
      <c r="K69" t="str">
        <f t="shared" si="5"/>
        <v>-22</v>
      </c>
      <c r="L69" t="str">
        <f t="shared" si="6"/>
        <v>-39,9</v>
      </c>
      <c r="N69" s="2">
        <v>-16</v>
      </c>
      <c r="O69" s="2">
        <v>-22</v>
      </c>
      <c r="P69" s="2">
        <v>-39.9</v>
      </c>
    </row>
    <row r="70" spans="1:16" x14ac:dyDescent="0.25">
      <c r="A70" s="1">
        <v>44631</v>
      </c>
      <c r="B70">
        <v>20</v>
      </c>
      <c r="C70">
        <v>21</v>
      </c>
      <c r="D70">
        <v>57.1</v>
      </c>
      <c r="E70" s="2" t="s">
        <v>0</v>
      </c>
      <c r="F70">
        <v>16</v>
      </c>
      <c r="G70">
        <v>16</v>
      </c>
      <c r="H70">
        <v>47.1</v>
      </c>
      <c r="J70" t="str">
        <f t="shared" si="4"/>
        <v>-16</v>
      </c>
      <c r="K70" t="str">
        <f t="shared" si="5"/>
        <v>-16</v>
      </c>
      <c r="L70" t="str">
        <f t="shared" si="6"/>
        <v>-47,1</v>
      </c>
      <c r="N70" s="2">
        <v>-16</v>
      </c>
      <c r="O70" s="2">
        <v>-16</v>
      </c>
      <c r="P70" s="2">
        <v>-47.1</v>
      </c>
    </row>
    <row r="71" spans="1:16" x14ac:dyDescent="0.25">
      <c r="A71" s="1">
        <v>44632</v>
      </c>
      <c r="B71">
        <v>20</v>
      </c>
      <c r="C71">
        <v>25</v>
      </c>
      <c r="D71">
        <v>47.13</v>
      </c>
      <c r="E71" s="2" t="s">
        <v>0</v>
      </c>
      <c r="F71">
        <v>16</v>
      </c>
      <c r="G71">
        <v>10</v>
      </c>
      <c r="H71">
        <v>26.9</v>
      </c>
      <c r="J71" t="str">
        <f t="shared" si="4"/>
        <v>-16</v>
      </c>
      <c r="K71" t="str">
        <f t="shared" si="5"/>
        <v>-10</v>
      </c>
      <c r="L71" t="str">
        <f t="shared" si="6"/>
        <v>-26,9</v>
      </c>
      <c r="N71" s="2">
        <v>-16</v>
      </c>
      <c r="O71" s="2">
        <v>-10</v>
      </c>
      <c r="P71" s="2">
        <v>-26.9</v>
      </c>
    </row>
    <row r="72" spans="1:16" x14ac:dyDescent="0.25">
      <c r="A72" s="1">
        <v>44633</v>
      </c>
      <c r="B72">
        <v>20</v>
      </c>
      <c r="C72">
        <v>29</v>
      </c>
      <c r="D72">
        <v>39.03</v>
      </c>
      <c r="E72" s="2" t="s">
        <v>0</v>
      </c>
      <c r="F72">
        <v>16</v>
      </c>
      <c r="G72">
        <v>3</v>
      </c>
      <c r="H72">
        <v>39.200000000000003</v>
      </c>
      <c r="J72" t="str">
        <f t="shared" si="4"/>
        <v>-16</v>
      </c>
      <c r="K72" t="str">
        <f t="shared" si="5"/>
        <v>-3</v>
      </c>
      <c r="L72" t="str">
        <f t="shared" si="6"/>
        <v>-39,2</v>
      </c>
      <c r="N72" s="2">
        <v>-16</v>
      </c>
      <c r="O72" s="2">
        <v>-3</v>
      </c>
      <c r="P72" s="2">
        <v>-39.200000000000003</v>
      </c>
    </row>
    <row r="73" spans="1:16" x14ac:dyDescent="0.25">
      <c r="A73" s="1">
        <v>44634</v>
      </c>
      <c r="B73">
        <v>20</v>
      </c>
      <c r="C73">
        <v>33</v>
      </c>
      <c r="D73">
        <v>32.700000000000003</v>
      </c>
      <c r="E73" s="2" t="s">
        <v>0</v>
      </c>
      <c r="F73">
        <v>15</v>
      </c>
      <c r="G73">
        <v>56</v>
      </c>
      <c r="H73">
        <v>23.7</v>
      </c>
      <c r="J73" t="str">
        <f t="shared" si="4"/>
        <v>-15</v>
      </c>
      <c r="K73" t="str">
        <f t="shared" si="5"/>
        <v>-56</v>
      </c>
      <c r="L73" t="str">
        <f t="shared" si="6"/>
        <v>-23,7</v>
      </c>
      <c r="N73" s="2">
        <v>-15</v>
      </c>
      <c r="O73" s="2">
        <v>-56</v>
      </c>
      <c r="P73" s="2">
        <v>-23.7</v>
      </c>
    </row>
    <row r="74" spans="1:16" x14ac:dyDescent="0.25">
      <c r="A74" s="1">
        <v>44635</v>
      </c>
      <c r="B74">
        <v>20</v>
      </c>
      <c r="C74">
        <v>37</v>
      </c>
      <c r="D74">
        <v>28.05</v>
      </c>
      <c r="E74" s="2" t="s">
        <v>0</v>
      </c>
      <c r="F74">
        <v>15</v>
      </c>
      <c r="G74">
        <v>48</v>
      </c>
      <c r="H74">
        <v>40.5</v>
      </c>
      <c r="J74" t="str">
        <f t="shared" si="4"/>
        <v>-15</v>
      </c>
      <c r="K74" t="str">
        <f t="shared" si="5"/>
        <v>-48</v>
      </c>
      <c r="L74" t="str">
        <f t="shared" si="6"/>
        <v>-40,5</v>
      </c>
      <c r="N74" s="2">
        <v>-15</v>
      </c>
      <c r="O74" s="2">
        <v>-48</v>
      </c>
      <c r="P74" s="2">
        <v>-40.5</v>
      </c>
    </row>
    <row r="75" spans="1:16" x14ac:dyDescent="0.25">
      <c r="A75" s="1">
        <v>44636</v>
      </c>
      <c r="B75">
        <v>20</v>
      </c>
      <c r="C75">
        <v>41</v>
      </c>
      <c r="D75">
        <v>24.97</v>
      </c>
      <c r="E75" s="2" t="s">
        <v>0</v>
      </c>
      <c r="F75">
        <v>15</v>
      </c>
      <c r="G75">
        <v>40</v>
      </c>
      <c r="H75">
        <v>29.2</v>
      </c>
      <c r="J75" t="str">
        <f t="shared" si="4"/>
        <v>-15</v>
      </c>
      <c r="K75" t="str">
        <f t="shared" si="5"/>
        <v>-40</v>
      </c>
      <c r="L75" t="str">
        <f t="shared" si="6"/>
        <v>-29,2</v>
      </c>
      <c r="N75" s="2">
        <v>-15</v>
      </c>
      <c r="O75" s="2">
        <v>-40</v>
      </c>
      <c r="P75" s="2">
        <v>-29.2</v>
      </c>
    </row>
    <row r="76" spans="1:16" x14ac:dyDescent="0.25">
      <c r="A76" s="1">
        <v>44637</v>
      </c>
      <c r="B76">
        <v>20</v>
      </c>
      <c r="C76">
        <v>45</v>
      </c>
      <c r="D76">
        <v>23.37</v>
      </c>
      <c r="E76" s="2" t="s">
        <v>0</v>
      </c>
      <c r="F76">
        <v>15</v>
      </c>
      <c r="G76">
        <v>31</v>
      </c>
      <c r="H76">
        <v>49.9</v>
      </c>
      <c r="J76" t="str">
        <f t="shared" si="4"/>
        <v>-15</v>
      </c>
      <c r="K76" t="str">
        <f t="shared" si="5"/>
        <v>-31</v>
      </c>
      <c r="L76" t="str">
        <f t="shared" si="6"/>
        <v>-49,9</v>
      </c>
      <c r="N76" s="2">
        <v>-15</v>
      </c>
      <c r="O76" s="2">
        <v>-31</v>
      </c>
      <c r="P76" s="2">
        <v>-49.9</v>
      </c>
    </row>
    <row r="77" spans="1:16" x14ac:dyDescent="0.25">
      <c r="A77" s="1">
        <v>44638</v>
      </c>
      <c r="B77">
        <v>20</v>
      </c>
      <c r="C77">
        <v>49</v>
      </c>
      <c r="D77">
        <v>23.17</v>
      </c>
      <c r="E77" s="2" t="s">
        <v>0</v>
      </c>
      <c r="F77">
        <v>15</v>
      </c>
      <c r="G77">
        <v>22</v>
      </c>
      <c r="H77">
        <v>42.5</v>
      </c>
      <c r="J77" t="str">
        <f t="shared" si="4"/>
        <v>-15</v>
      </c>
      <c r="K77" t="str">
        <f t="shared" si="5"/>
        <v>-22</v>
      </c>
      <c r="L77" t="str">
        <f t="shared" si="6"/>
        <v>-42,5</v>
      </c>
      <c r="N77" s="2">
        <v>-15</v>
      </c>
      <c r="O77" s="2">
        <v>-22</v>
      </c>
      <c r="P77" s="2">
        <v>-42.5</v>
      </c>
    </row>
    <row r="78" spans="1:16" x14ac:dyDescent="0.25">
      <c r="A78" s="1">
        <v>44639</v>
      </c>
      <c r="B78">
        <v>20</v>
      </c>
      <c r="C78">
        <v>53</v>
      </c>
      <c r="D78">
        <v>24.28</v>
      </c>
      <c r="E78" s="2" t="s">
        <v>0</v>
      </c>
      <c r="F78">
        <v>15</v>
      </c>
      <c r="G78">
        <v>13</v>
      </c>
      <c r="H78">
        <v>7</v>
      </c>
      <c r="J78" t="str">
        <f t="shared" si="4"/>
        <v>-15</v>
      </c>
      <c r="K78" t="str">
        <f t="shared" si="5"/>
        <v>-13</v>
      </c>
      <c r="L78" t="str">
        <f t="shared" si="6"/>
        <v>-7</v>
      </c>
      <c r="N78" s="2">
        <v>-15</v>
      </c>
      <c r="O78" s="2">
        <v>-13</v>
      </c>
      <c r="P78" s="2">
        <v>-7</v>
      </c>
    </row>
    <row r="79" spans="1:16" x14ac:dyDescent="0.25">
      <c r="A79" s="1">
        <v>44640</v>
      </c>
      <c r="B79">
        <v>20</v>
      </c>
      <c r="C79">
        <v>57</v>
      </c>
      <c r="D79">
        <v>26.62</v>
      </c>
      <c r="E79" s="2" t="s">
        <v>0</v>
      </c>
      <c r="F79">
        <v>15</v>
      </c>
      <c r="G79">
        <v>3</v>
      </c>
      <c r="H79">
        <v>3.4</v>
      </c>
      <c r="J79" t="str">
        <f t="shared" si="4"/>
        <v>-15</v>
      </c>
      <c r="K79" t="str">
        <f t="shared" si="5"/>
        <v>-3</v>
      </c>
      <c r="L79" t="str">
        <f t="shared" si="6"/>
        <v>-3,4</v>
      </c>
      <c r="N79" s="2">
        <v>-15</v>
      </c>
      <c r="O79" s="2">
        <v>-3</v>
      </c>
      <c r="P79" s="2">
        <v>-3.4</v>
      </c>
    </row>
    <row r="80" spans="1:16" x14ac:dyDescent="0.25">
      <c r="A80" s="1">
        <v>44641</v>
      </c>
      <c r="B80">
        <v>21</v>
      </c>
      <c r="C80">
        <v>1</v>
      </c>
      <c r="D80">
        <v>30.11</v>
      </c>
      <c r="E80" s="2" t="s">
        <v>0</v>
      </c>
      <c r="F80">
        <v>14</v>
      </c>
      <c r="G80">
        <v>52</v>
      </c>
      <c r="H80">
        <v>31.8</v>
      </c>
      <c r="J80" t="str">
        <f t="shared" si="4"/>
        <v>-14</v>
      </c>
      <c r="K80" t="str">
        <f t="shared" si="5"/>
        <v>-52</v>
      </c>
      <c r="L80" t="str">
        <f t="shared" si="6"/>
        <v>-31,8</v>
      </c>
      <c r="N80" s="2">
        <v>-14</v>
      </c>
      <c r="O80" s="2">
        <v>-52</v>
      </c>
      <c r="P80" s="2">
        <v>-31.8</v>
      </c>
    </row>
    <row r="81" spans="1:16" x14ac:dyDescent="0.25">
      <c r="A81" s="1">
        <v>44642</v>
      </c>
      <c r="B81">
        <v>21</v>
      </c>
      <c r="C81">
        <v>5</v>
      </c>
      <c r="D81">
        <v>34.68</v>
      </c>
      <c r="E81" s="2" t="s">
        <v>0</v>
      </c>
      <c r="F81">
        <v>14</v>
      </c>
      <c r="G81">
        <v>41</v>
      </c>
      <c r="H81">
        <v>32.1</v>
      </c>
      <c r="J81" t="str">
        <f t="shared" si="4"/>
        <v>-14</v>
      </c>
      <c r="K81" t="str">
        <f t="shared" si="5"/>
        <v>-41</v>
      </c>
      <c r="L81" t="str">
        <f t="shared" si="6"/>
        <v>-32,1</v>
      </c>
      <c r="N81" s="2">
        <v>-14</v>
      </c>
      <c r="O81" s="2">
        <v>-41</v>
      </c>
      <c r="P81" s="2">
        <v>-32.1</v>
      </c>
    </row>
    <row r="82" spans="1:16" x14ac:dyDescent="0.25">
      <c r="A82" s="1">
        <v>44643</v>
      </c>
      <c r="B82">
        <v>21</v>
      </c>
      <c r="C82">
        <v>9</v>
      </c>
      <c r="D82">
        <v>40.24</v>
      </c>
      <c r="E82" s="2" t="s">
        <v>0</v>
      </c>
      <c r="F82">
        <v>14</v>
      </c>
      <c r="G82">
        <v>30</v>
      </c>
      <c r="H82">
        <v>4.5999999999999996</v>
      </c>
      <c r="J82" t="str">
        <f t="shared" si="4"/>
        <v>-14</v>
      </c>
      <c r="K82" t="str">
        <f t="shared" si="5"/>
        <v>-30</v>
      </c>
      <c r="L82" t="str">
        <f t="shared" si="6"/>
        <v>-4,6</v>
      </c>
      <c r="N82" s="2">
        <v>-14</v>
      </c>
      <c r="O82" s="2">
        <v>-30</v>
      </c>
      <c r="P82" s="2">
        <v>-4.5999999999999996</v>
      </c>
    </row>
    <row r="83" spans="1:16" x14ac:dyDescent="0.25">
      <c r="A83" s="1">
        <v>44644</v>
      </c>
      <c r="B83">
        <v>21</v>
      </c>
      <c r="C83">
        <v>13</v>
      </c>
      <c r="D83">
        <v>46.71</v>
      </c>
      <c r="E83" s="2" t="s">
        <v>0</v>
      </c>
      <c r="F83">
        <v>14</v>
      </c>
      <c r="G83">
        <v>18</v>
      </c>
      <c r="H83">
        <v>9.4</v>
      </c>
      <c r="J83" t="str">
        <f t="shared" si="4"/>
        <v>-14</v>
      </c>
      <c r="K83" t="str">
        <f t="shared" si="5"/>
        <v>-18</v>
      </c>
      <c r="L83" t="str">
        <f t="shared" si="6"/>
        <v>-9,4</v>
      </c>
      <c r="N83" s="2">
        <v>-14</v>
      </c>
      <c r="O83" s="2">
        <v>-18</v>
      </c>
      <c r="P83" s="2">
        <v>-9.4</v>
      </c>
    </row>
    <row r="84" spans="1:16" x14ac:dyDescent="0.25">
      <c r="A84" s="1">
        <v>44645</v>
      </c>
      <c r="B84">
        <v>21</v>
      </c>
      <c r="C84">
        <v>17</v>
      </c>
      <c r="D84">
        <v>54.04</v>
      </c>
      <c r="E84" s="2" t="s">
        <v>0</v>
      </c>
      <c r="F84">
        <v>14</v>
      </c>
      <c r="G84">
        <v>5</v>
      </c>
      <c r="H84">
        <v>46.6</v>
      </c>
      <c r="J84" t="str">
        <f t="shared" si="4"/>
        <v>-14</v>
      </c>
      <c r="K84" t="str">
        <f t="shared" si="5"/>
        <v>-5</v>
      </c>
      <c r="L84" t="str">
        <f t="shared" si="6"/>
        <v>-46,6</v>
      </c>
      <c r="N84" s="2">
        <v>-14</v>
      </c>
      <c r="O84" s="2">
        <v>-5</v>
      </c>
      <c r="P84" s="2">
        <v>-46.6</v>
      </c>
    </row>
    <row r="85" spans="1:16" x14ac:dyDescent="0.25">
      <c r="A85" s="1">
        <v>44646</v>
      </c>
      <c r="B85">
        <v>21</v>
      </c>
      <c r="C85">
        <v>22</v>
      </c>
      <c r="D85">
        <v>2.15</v>
      </c>
      <c r="E85" s="2" t="s">
        <v>0</v>
      </c>
      <c r="F85">
        <v>13</v>
      </c>
      <c r="G85">
        <v>52</v>
      </c>
      <c r="H85">
        <v>56.5</v>
      </c>
      <c r="J85" t="str">
        <f t="shared" si="4"/>
        <v>-13</v>
      </c>
      <c r="K85" t="str">
        <f t="shared" si="5"/>
        <v>-52</v>
      </c>
      <c r="L85" t="str">
        <f t="shared" si="6"/>
        <v>-56,5</v>
      </c>
      <c r="N85" s="2">
        <v>-13</v>
      </c>
      <c r="O85" s="2">
        <v>-52</v>
      </c>
      <c r="P85" s="2">
        <v>-56.5</v>
      </c>
    </row>
    <row r="86" spans="1:16" x14ac:dyDescent="0.25">
      <c r="A86" s="1">
        <v>44647</v>
      </c>
      <c r="B86">
        <v>21</v>
      </c>
      <c r="C86">
        <v>26</v>
      </c>
      <c r="D86">
        <v>10.96</v>
      </c>
      <c r="E86" s="2" t="s">
        <v>0</v>
      </c>
      <c r="F86">
        <v>13</v>
      </c>
      <c r="G86">
        <v>39</v>
      </c>
      <c r="H86">
        <v>39.4</v>
      </c>
      <c r="J86" t="str">
        <f t="shared" si="4"/>
        <v>-13</v>
      </c>
      <c r="K86" t="str">
        <f t="shared" si="5"/>
        <v>-39</v>
      </c>
      <c r="L86" t="str">
        <f t="shared" si="6"/>
        <v>-39,4</v>
      </c>
      <c r="N86" s="2">
        <v>-13</v>
      </c>
      <c r="O86" s="2">
        <v>-39</v>
      </c>
      <c r="P86" s="2">
        <v>-39.4</v>
      </c>
    </row>
    <row r="87" spans="1:16" x14ac:dyDescent="0.25">
      <c r="A87" s="1">
        <v>44648</v>
      </c>
      <c r="B87">
        <v>21</v>
      </c>
      <c r="C87">
        <v>30</v>
      </c>
      <c r="D87">
        <v>20.420000000000002</v>
      </c>
      <c r="E87" s="2" t="s">
        <v>0</v>
      </c>
      <c r="F87">
        <v>13</v>
      </c>
      <c r="G87">
        <v>25</v>
      </c>
      <c r="H87">
        <v>55.5</v>
      </c>
      <c r="J87" t="str">
        <f t="shared" si="4"/>
        <v>-13</v>
      </c>
      <c r="K87" t="str">
        <f t="shared" si="5"/>
        <v>-25</v>
      </c>
      <c r="L87" t="str">
        <f t="shared" si="6"/>
        <v>-55,5</v>
      </c>
      <c r="N87" s="2">
        <v>-13</v>
      </c>
      <c r="O87" s="2">
        <v>-25</v>
      </c>
      <c r="P87" s="2">
        <v>-55.5</v>
      </c>
    </row>
    <row r="88" spans="1:16" x14ac:dyDescent="0.25">
      <c r="A88" s="1">
        <v>44649</v>
      </c>
      <c r="B88">
        <v>21</v>
      </c>
      <c r="C88">
        <v>34</v>
      </c>
      <c r="D88">
        <v>30.46</v>
      </c>
      <c r="E88" s="2" t="s">
        <v>0</v>
      </c>
      <c r="F88">
        <v>13</v>
      </c>
      <c r="G88">
        <v>11</v>
      </c>
      <c r="H88">
        <v>45.2</v>
      </c>
      <c r="J88" t="str">
        <f t="shared" si="4"/>
        <v>-13</v>
      </c>
      <c r="K88" t="str">
        <f t="shared" si="5"/>
        <v>-11</v>
      </c>
      <c r="L88" t="str">
        <f t="shared" si="6"/>
        <v>-45,2</v>
      </c>
      <c r="N88" s="2">
        <v>-13</v>
      </c>
      <c r="O88" s="2">
        <v>-11</v>
      </c>
      <c r="P88" s="2">
        <v>-45.2</v>
      </c>
    </row>
    <row r="89" spans="1:16" x14ac:dyDescent="0.25">
      <c r="A89" s="1">
        <v>44650</v>
      </c>
      <c r="B89">
        <v>21</v>
      </c>
      <c r="C89">
        <v>38</v>
      </c>
      <c r="D89">
        <v>41.03</v>
      </c>
      <c r="E89" s="2" t="s">
        <v>0</v>
      </c>
      <c r="F89">
        <v>12</v>
      </c>
      <c r="G89">
        <v>57</v>
      </c>
      <c r="H89">
        <v>8.6999999999999993</v>
      </c>
      <c r="J89" t="str">
        <f t="shared" si="4"/>
        <v>-12</v>
      </c>
      <c r="K89" t="str">
        <f t="shared" si="5"/>
        <v>-57</v>
      </c>
      <c r="L89" t="str">
        <f t="shared" si="6"/>
        <v>-8,7</v>
      </c>
      <c r="N89" s="2">
        <v>-12</v>
      </c>
      <c r="O89" s="2">
        <v>-57</v>
      </c>
      <c r="P89" s="2">
        <v>-8.6999999999999993</v>
      </c>
    </row>
    <row r="90" spans="1:16" x14ac:dyDescent="0.25">
      <c r="A90" s="1">
        <v>44651</v>
      </c>
      <c r="B90">
        <v>21</v>
      </c>
      <c r="C90">
        <v>42</v>
      </c>
      <c r="D90">
        <v>52.06</v>
      </c>
      <c r="E90" s="2" t="s">
        <v>0</v>
      </c>
      <c r="F90">
        <v>12</v>
      </c>
      <c r="G90">
        <v>42</v>
      </c>
      <c r="H90">
        <v>6.5</v>
      </c>
      <c r="J90" t="str">
        <f t="shared" si="4"/>
        <v>-12</v>
      </c>
      <c r="K90" t="str">
        <f t="shared" si="5"/>
        <v>-42</v>
      </c>
      <c r="L90" t="str">
        <f t="shared" si="6"/>
        <v>-6,5</v>
      </c>
      <c r="N90" s="2">
        <v>-12</v>
      </c>
      <c r="O90" s="2">
        <v>-42</v>
      </c>
      <c r="P90" s="2">
        <v>-6.5</v>
      </c>
    </row>
    <row r="91" spans="1:16" x14ac:dyDescent="0.25">
      <c r="A91" s="1">
        <v>44652</v>
      </c>
      <c r="B91">
        <v>21</v>
      </c>
      <c r="C91">
        <v>47</v>
      </c>
      <c r="D91">
        <v>3.51</v>
      </c>
      <c r="E91" s="2" t="s">
        <v>0</v>
      </c>
      <c r="F91">
        <v>12</v>
      </c>
      <c r="G91">
        <v>26</v>
      </c>
      <c r="H91">
        <v>38.9</v>
      </c>
      <c r="J91" t="str">
        <f t="shared" si="4"/>
        <v>-12</v>
      </c>
      <c r="K91" t="str">
        <f t="shared" si="5"/>
        <v>-26</v>
      </c>
      <c r="L91" t="str">
        <f t="shared" si="6"/>
        <v>-38,9</v>
      </c>
      <c r="N91" s="2">
        <v>-12</v>
      </c>
      <c r="O91" s="2">
        <v>-26</v>
      </c>
      <c r="P91" s="2">
        <v>-38.9</v>
      </c>
    </row>
    <row r="92" spans="1:16" x14ac:dyDescent="0.25">
      <c r="A92" s="1">
        <v>44653</v>
      </c>
      <c r="B92">
        <v>21</v>
      </c>
      <c r="C92">
        <v>51</v>
      </c>
      <c r="D92">
        <v>15.33</v>
      </c>
      <c r="E92" s="2" t="s">
        <v>0</v>
      </c>
      <c r="F92">
        <v>12</v>
      </c>
      <c r="G92">
        <v>10</v>
      </c>
      <c r="H92">
        <v>46.4</v>
      </c>
      <c r="J92" t="str">
        <f t="shared" si="4"/>
        <v>-12</v>
      </c>
      <c r="K92" t="str">
        <f t="shared" si="5"/>
        <v>-10</v>
      </c>
      <c r="L92" t="str">
        <f t="shared" si="6"/>
        <v>-46,4</v>
      </c>
      <c r="N92" s="2">
        <v>-12</v>
      </c>
      <c r="O92" s="2">
        <v>-10</v>
      </c>
      <c r="P92" s="2">
        <v>-46.4</v>
      </c>
    </row>
    <row r="93" spans="1:16" x14ac:dyDescent="0.25">
      <c r="A93" s="1">
        <v>44654</v>
      </c>
      <c r="B93">
        <v>21</v>
      </c>
      <c r="C93">
        <v>55</v>
      </c>
      <c r="D93">
        <v>27.48</v>
      </c>
      <c r="E93" s="2" t="s">
        <v>0</v>
      </c>
      <c r="F93">
        <v>11</v>
      </c>
      <c r="G93">
        <v>54</v>
      </c>
      <c r="H93">
        <v>29.2</v>
      </c>
      <c r="J93" t="str">
        <f t="shared" si="4"/>
        <v>-11</v>
      </c>
      <c r="K93" t="str">
        <f t="shared" si="5"/>
        <v>-54</v>
      </c>
      <c r="L93" t="str">
        <f t="shared" si="6"/>
        <v>-29,2</v>
      </c>
      <c r="N93" s="2">
        <v>-11</v>
      </c>
      <c r="O93" s="2">
        <v>-54</v>
      </c>
      <c r="P93" s="2">
        <v>-29.2</v>
      </c>
    </row>
    <row r="94" spans="1:16" x14ac:dyDescent="0.25">
      <c r="A94" s="1">
        <v>44655</v>
      </c>
      <c r="B94">
        <v>21</v>
      </c>
      <c r="C94">
        <v>59</v>
      </c>
      <c r="D94">
        <v>39.909999999999997</v>
      </c>
      <c r="E94" s="2" t="s">
        <v>0</v>
      </c>
      <c r="F94">
        <v>11</v>
      </c>
      <c r="G94">
        <v>37</v>
      </c>
      <c r="H94">
        <v>47.9</v>
      </c>
      <c r="J94" t="str">
        <f t="shared" si="4"/>
        <v>-11</v>
      </c>
      <c r="K94" t="str">
        <f t="shared" si="5"/>
        <v>-37</v>
      </c>
      <c r="L94" t="str">
        <f t="shared" si="6"/>
        <v>-47,9</v>
      </c>
      <c r="N94" s="2">
        <v>-11</v>
      </c>
      <c r="O94" s="2">
        <v>-37</v>
      </c>
      <c r="P94" s="2">
        <v>-47.9</v>
      </c>
    </row>
    <row r="95" spans="1:16" x14ac:dyDescent="0.25">
      <c r="A95" s="1">
        <v>44656</v>
      </c>
      <c r="B95">
        <v>22</v>
      </c>
      <c r="C95">
        <v>3</v>
      </c>
      <c r="D95">
        <v>52.6</v>
      </c>
      <c r="E95" s="2" t="s">
        <v>0</v>
      </c>
      <c r="F95">
        <v>11</v>
      </c>
      <c r="G95">
        <v>20</v>
      </c>
      <c r="H95">
        <v>42.9</v>
      </c>
      <c r="J95" t="str">
        <f t="shared" si="4"/>
        <v>-11</v>
      </c>
      <c r="K95" t="str">
        <f t="shared" si="5"/>
        <v>-20</v>
      </c>
      <c r="L95" t="str">
        <f t="shared" si="6"/>
        <v>-42,9</v>
      </c>
      <c r="N95" s="2">
        <v>-11</v>
      </c>
      <c r="O95" s="2">
        <v>-20</v>
      </c>
      <c r="P95" s="2">
        <v>-42.9</v>
      </c>
    </row>
    <row r="96" spans="1:16" x14ac:dyDescent="0.25">
      <c r="A96" s="1">
        <v>44657</v>
      </c>
      <c r="B96">
        <v>22</v>
      </c>
      <c r="C96">
        <v>8</v>
      </c>
      <c r="D96">
        <v>5.51</v>
      </c>
      <c r="E96" s="2" t="s">
        <v>0</v>
      </c>
      <c r="F96">
        <v>11</v>
      </c>
      <c r="G96">
        <v>3</v>
      </c>
      <c r="H96">
        <v>14.6</v>
      </c>
      <c r="J96" t="str">
        <f t="shared" si="4"/>
        <v>-11</v>
      </c>
      <c r="K96" t="str">
        <f t="shared" si="5"/>
        <v>-3</v>
      </c>
      <c r="L96" t="str">
        <f t="shared" si="6"/>
        <v>-14,6</v>
      </c>
      <c r="N96" s="2">
        <v>-11</v>
      </c>
      <c r="O96" s="2">
        <v>-3</v>
      </c>
      <c r="P96" s="2">
        <v>-14.6</v>
      </c>
    </row>
    <row r="97" spans="1:16" x14ac:dyDescent="0.25">
      <c r="A97" s="1">
        <v>44658</v>
      </c>
      <c r="B97">
        <v>22</v>
      </c>
      <c r="C97">
        <v>12</v>
      </c>
      <c r="D97">
        <v>18.61</v>
      </c>
      <c r="E97" s="2" t="s">
        <v>0</v>
      </c>
      <c r="F97">
        <v>10</v>
      </c>
      <c r="G97">
        <v>45</v>
      </c>
      <c r="H97">
        <v>23.4</v>
      </c>
      <c r="J97" t="str">
        <f t="shared" si="4"/>
        <v>-10</v>
      </c>
      <c r="K97" t="str">
        <f t="shared" si="5"/>
        <v>-45</v>
      </c>
      <c r="L97" t="str">
        <f t="shared" si="6"/>
        <v>-23,4</v>
      </c>
      <c r="N97" s="2">
        <v>-10</v>
      </c>
      <c r="O97" s="2">
        <v>-45</v>
      </c>
      <c r="P97" s="2">
        <v>-23.4</v>
      </c>
    </row>
    <row r="98" spans="1:16" x14ac:dyDescent="0.25">
      <c r="A98" s="1">
        <v>44659</v>
      </c>
      <c r="B98">
        <v>22</v>
      </c>
      <c r="C98">
        <v>16</v>
      </c>
      <c r="D98">
        <v>31.88</v>
      </c>
      <c r="E98" s="2" t="s">
        <v>0</v>
      </c>
      <c r="F98">
        <v>10</v>
      </c>
      <c r="G98">
        <v>27</v>
      </c>
      <c r="H98">
        <v>9.9</v>
      </c>
      <c r="J98" t="str">
        <f t="shared" si="4"/>
        <v>-10</v>
      </c>
      <c r="K98" t="str">
        <f t="shared" si="5"/>
        <v>-27</v>
      </c>
      <c r="L98" t="str">
        <f t="shared" si="6"/>
        <v>-9,9</v>
      </c>
      <c r="N98" s="2">
        <v>-10</v>
      </c>
      <c r="O98" s="2">
        <v>-27</v>
      </c>
      <c r="P98" s="2">
        <v>-9.9</v>
      </c>
    </row>
    <row r="99" spans="1:16" x14ac:dyDescent="0.25">
      <c r="A99" s="1">
        <v>44660</v>
      </c>
      <c r="B99">
        <v>22</v>
      </c>
      <c r="C99">
        <v>20</v>
      </c>
      <c r="D99">
        <v>45.29</v>
      </c>
      <c r="E99" s="2" t="s">
        <v>0</v>
      </c>
      <c r="F99">
        <v>10</v>
      </c>
      <c r="G99">
        <v>8</v>
      </c>
      <c r="H99">
        <v>34.5</v>
      </c>
      <c r="J99" t="str">
        <f t="shared" si="4"/>
        <v>-10</v>
      </c>
      <c r="K99" t="str">
        <f t="shared" si="5"/>
        <v>-8</v>
      </c>
      <c r="L99" t="str">
        <f t="shared" si="6"/>
        <v>-34,5</v>
      </c>
      <c r="N99" s="2">
        <v>-10</v>
      </c>
      <c r="O99" s="2">
        <v>-8</v>
      </c>
      <c r="P99" s="2">
        <v>-34.5</v>
      </c>
    </row>
    <row r="100" spans="1:16" x14ac:dyDescent="0.25">
      <c r="A100" s="1">
        <v>44661</v>
      </c>
      <c r="B100">
        <v>22</v>
      </c>
      <c r="C100">
        <v>24</v>
      </c>
      <c r="D100">
        <v>58.82</v>
      </c>
      <c r="E100" s="2" t="s">
        <v>0</v>
      </c>
      <c r="F100">
        <v>9</v>
      </c>
      <c r="G100">
        <v>49</v>
      </c>
      <c r="H100">
        <v>37.6</v>
      </c>
      <c r="J100" t="str">
        <f t="shared" si="4"/>
        <v>-9</v>
      </c>
      <c r="K100" t="str">
        <f t="shared" si="5"/>
        <v>-49</v>
      </c>
      <c r="L100" t="str">
        <f t="shared" si="6"/>
        <v>-37,6</v>
      </c>
      <c r="N100" s="2">
        <v>-9</v>
      </c>
      <c r="O100" s="2">
        <v>-49</v>
      </c>
      <c r="P100" s="2">
        <v>-37.6</v>
      </c>
    </row>
    <row r="101" spans="1:16" x14ac:dyDescent="0.25">
      <c r="A101" s="1">
        <v>44662</v>
      </c>
      <c r="B101">
        <v>22</v>
      </c>
      <c r="C101">
        <v>29</v>
      </c>
      <c r="D101">
        <v>12.46</v>
      </c>
      <c r="E101" s="2" t="s">
        <v>0</v>
      </c>
      <c r="F101">
        <v>9</v>
      </c>
      <c r="G101">
        <v>30</v>
      </c>
      <c r="H101">
        <v>19.8</v>
      </c>
      <c r="J101" t="str">
        <f t="shared" si="4"/>
        <v>-9</v>
      </c>
      <c r="K101" t="str">
        <f t="shared" si="5"/>
        <v>-30</v>
      </c>
      <c r="L101" t="str">
        <f t="shared" si="6"/>
        <v>-19,8</v>
      </c>
      <c r="N101" s="2">
        <v>-9</v>
      </c>
      <c r="O101" s="2">
        <v>-30</v>
      </c>
      <c r="P101" s="2">
        <v>-19.8</v>
      </c>
    </row>
    <row r="102" spans="1:16" x14ac:dyDescent="0.25">
      <c r="A102" s="1">
        <v>44663</v>
      </c>
      <c r="B102">
        <v>22</v>
      </c>
      <c r="C102">
        <v>33</v>
      </c>
      <c r="D102">
        <v>26.2</v>
      </c>
      <c r="E102" s="2" t="s">
        <v>0</v>
      </c>
      <c r="F102">
        <v>9</v>
      </c>
      <c r="G102">
        <v>10</v>
      </c>
      <c r="H102">
        <v>41.5</v>
      </c>
      <c r="J102" t="str">
        <f t="shared" si="4"/>
        <v>-9</v>
      </c>
      <c r="K102" t="str">
        <f t="shared" si="5"/>
        <v>-10</v>
      </c>
      <c r="L102" t="str">
        <f t="shared" si="6"/>
        <v>-41,5</v>
      </c>
      <c r="N102" s="2">
        <v>-9</v>
      </c>
      <c r="O102" s="2">
        <v>-10</v>
      </c>
      <c r="P102" s="2">
        <v>-41.5</v>
      </c>
    </row>
    <row r="103" spans="1:16" x14ac:dyDescent="0.25">
      <c r="A103" s="1">
        <v>44664</v>
      </c>
      <c r="B103">
        <v>22</v>
      </c>
      <c r="C103">
        <v>37</v>
      </c>
      <c r="D103">
        <v>40.01</v>
      </c>
      <c r="E103" s="2" t="s">
        <v>0</v>
      </c>
      <c r="F103">
        <v>8</v>
      </c>
      <c r="G103">
        <v>50</v>
      </c>
      <c r="H103">
        <v>43.2</v>
      </c>
      <c r="J103" t="str">
        <f t="shared" si="4"/>
        <v>-8</v>
      </c>
      <c r="K103" t="str">
        <f t="shared" si="5"/>
        <v>-50</v>
      </c>
      <c r="L103" t="str">
        <f t="shared" si="6"/>
        <v>-43,2</v>
      </c>
      <c r="N103" s="2">
        <v>-8</v>
      </c>
      <c r="O103" s="2">
        <v>-50</v>
      </c>
      <c r="P103" s="2">
        <v>-43.2</v>
      </c>
    </row>
    <row r="104" spans="1:16" x14ac:dyDescent="0.25">
      <c r="A104" s="1">
        <v>44665</v>
      </c>
      <c r="B104">
        <v>22</v>
      </c>
      <c r="C104">
        <v>41</v>
      </c>
      <c r="D104">
        <v>53.89</v>
      </c>
      <c r="E104" s="2" t="s">
        <v>0</v>
      </c>
      <c r="F104">
        <v>8</v>
      </c>
      <c r="G104">
        <v>30</v>
      </c>
      <c r="H104">
        <v>25.5</v>
      </c>
      <c r="J104" t="str">
        <f t="shared" si="4"/>
        <v>-8</v>
      </c>
      <c r="K104" t="str">
        <f t="shared" si="5"/>
        <v>-30</v>
      </c>
      <c r="L104" t="str">
        <f t="shared" si="6"/>
        <v>-25,5</v>
      </c>
      <c r="N104" s="2">
        <v>-8</v>
      </c>
      <c r="O104" s="2">
        <v>-30</v>
      </c>
      <c r="P104" s="2">
        <v>-25.5</v>
      </c>
    </row>
    <row r="105" spans="1:16" x14ac:dyDescent="0.25">
      <c r="A105" s="1">
        <v>44666</v>
      </c>
      <c r="B105">
        <v>22</v>
      </c>
      <c r="C105">
        <v>46</v>
      </c>
      <c r="D105">
        <v>7.83</v>
      </c>
      <c r="E105" s="2" t="s">
        <v>0</v>
      </c>
      <c r="F105">
        <v>8</v>
      </c>
      <c r="G105">
        <v>9</v>
      </c>
      <c r="H105">
        <v>48.8</v>
      </c>
      <c r="J105" t="str">
        <f t="shared" si="4"/>
        <v>-8</v>
      </c>
      <c r="K105" t="str">
        <f t="shared" si="5"/>
        <v>-9</v>
      </c>
      <c r="L105" t="str">
        <f t="shared" si="6"/>
        <v>-48,8</v>
      </c>
      <c r="N105" s="2">
        <v>-8</v>
      </c>
      <c r="O105" s="2">
        <v>-9</v>
      </c>
      <c r="P105" s="2">
        <v>-48.8</v>
      </c>
    </row>
    <row r="106" spans="1:16" x14ac:dyDescent="0.25">
      <c r="A106" s="1">
        <v>44667</v>
      </c>
      <c r="B106">
        <v>22</v>
      </c>
      <c r="C106">
        <v>50</v>
      </c>
      <c r="D106">
        <v>21.83</v>
      </c>
      <c r="E106" s="2" t="s">
        <v>0</v>
      </c>
      <c r="F106">
        <v>7</v>
      </c>
      <c r="G106">
        <v>48</v>
      </c>
      <c r="H106">
        <v>53.7</v>
      </c>
      <c r="J106" t="str">
        <f t="shared" si="4"/>
        <v>-7</v>
      </c>
      <c r="K106" t="str">
        <f t="shared" si="5"/>
        <v>-48</v>
      </c>
      <c r="L106" t="str">
        <f t="shared" si="6"/>
        <v>-53,7</v>
      </c>
      <c r="N106" s="2">
        <v>-7</v>
      </c>
      <c r="O106" s="2">
        <v>-48</v>
      </c>
      <c r="P106" s="2">
        <v>-53.7</v>
      </c>
    </row>
    <row r="107" spans="1:16" x14ac:dyDescent="0.25">
      <c r="A107" s="1">
        <v>44668</v>
      </c>
      <c r="B107">
        <v>22</v>
      </c>
      <c r="C107">
        <v>54</v>
      </c>
      <c r="D107">
        <v>35.880000000000003</v>
      </c>
      <c r="E107" s="2" t="s">
        <v>0</v>
      </c>
      <c r="F107">
        <v>7</v>
      </c>
      <c r="G107">
        <v>27</v>
      </c>
      <c r="H107">
        <v>40.6</v>
      </c>
      <c r="J107" t="str">
        <f t="shared" si="4"/>
        <v>-7</v>
      </c>
      <c r="K107" t="str">
        <f t="shared" si="5"/>
        <v>-27</v>
      </c>
      <c r="L107" t="str">
        <f t="shared" si="6"/>
        <v>-40,6</v>
      </c>
      <c r="N107" s="2">
        <v>-7</v>
      </c>
      <c r="O107" s="2">
        <v>-27</v>
      </c>
      <c r="P107" s="2">
        <v>-40.6</v>
      </c>
    </row>
    <row r="108" spans="1:16" x14ac:dyDescent="0.25">
      <c r="A108" s="1">
        <v>44669</v>
      </c>
      <c r="B108">
        <v>22</v>
      </c>
      <c r="C108">
        <v>58</v>
      </c>
      <c r="D108">
        <v>49.98</v>
      </c>
      <c r="E108" s="2" t="s">
        <v>0</v>
      </c>
      <c r="F108">
        <v>7</v>
      </c>
      <c r="G108">
        <v>6</v>
      </c>
      <c r="H108">
        <v>10.199999999999999</v>
      </c>
      <c r="J108" t="str">
        <f t="shared" si="4"/>
        <v>-7</v>
      </c>
      <c r="K108" t="str">
        <f t="shared" si="5"/>
        <v>-6</v>
      </c>
      <c r="L108" t="str">
        <f t="shared" si="6"/>
        <v>-10,2</v>
      </c>
      <c r="N108" s="2">
        <v>-7</v>
      </c>
      <c r="O108" s="2">
        <v>-6</v>
      </c>
      <c r="P108" s="2">
        <v>-10.199999999999999</v>
      </c>
    </row>
    <row r="109" spans="1:16" x14ac:dyDescent="0.25">
      <c r="A109" s="1">
        <v>44670</v>
      </c>
      <c r="B109">
        <v>23</v>
      </c>
      <c r="C109">
        <v>3</v>
      </c>
      <c r="D109">
        <v>4.13</v>
      </c>
      <c r="E109" s="2" t="s">
        <v>0</v>
      </c>
      <c r="F109">
        <v>6</v>
      </c>
      <c r="G109">
        <v>44</v>
      </c>
      <c r="H109">
        <v>22.9</v>
      </c>
      <c r="J109" t="str">
        <f t="shared" si="4"/>
        <v>-6</v>
      </c>
      <c r="K109" t="str">
        <f t="shared" si="5"/>
        <v>-44</v>
      </c>
      <c r="L109" t="str">
        <f t="shared" si="6"/>
        <v>-22,9</v>
      </c>
      <c r="N109" s="2">
        <v>-6</v>
      </c>
      <c r="O109" s="2">
        <v>-44</v>
      </c>
      <c r="P109" s="2">
        <v>-22.9</v>
      </c>
    </row>
    <row r="110" spans="1:16" x14ac:dyDescent="0.25">
      <c r="A110" s="1">
        <v>44671</v>
      </c>
      <c r="B110">
        <v>23</v>
      </c>
      <c r="C110">
        <v>7</v>
      </c>
      <c r="D110">
        <v>18.34</v>
      </c>
      <c r="E110" s="2" t="s">
        <v>0</v>
      </c>
      <c r="F110">
        <v>6</v>
      </c>
      <c r="G110">
        <v>22</v>
      </c>
      <c r="H110">
        <v>19.3</v>
      </c>
      <c r="J110" t="str">
        <f t="shared" si="4"/>
        <v>-6</v>
      </c>
      <c r="K110" t="str">
        <f t="shared" si="5"/>
        <v>-22</v>
      </c>
      <c r="L110" t="str">
        <f t="shared" si="6"/>
        <v>-19,3</v>
      </c>
      <c r="N110" s="2">
        <v>-6</v>
      </c>
      <c r="O110" s="2">
        <v>-22</v>
      </c>
      <c r="P110" s="2">
        <v>-19.3</v>
      </c>
    </row>
    <row r="111" spans="1:16" x14ac:dyDescent="0.25">
      <c r="A111" s="1">
        <v>44672</v>
      </c>
      <c r="B111">
        <v>23</v>
      </c>
      <c r="C111">
        <v>11</v>
      </c>
      <c r="D111">
        <v>32.590000000000003</v>
      </c>
      <c r="E111" s="2" t="s">
        <v>0</v>
      </c>
      <c r="F111">
        <v>6</v>
      </c>
      <c r="G111">
        <v>0</v>
      </c>
      <c r="H111">
        <v>0</v>
      </c>
      <c r="J111" t="str">
        <f t="shared" si="4"/>
        <v>-6</v>
      </c>
      <c r="K111" t="str">
        <f t="shared" si="5"/>
        <v>-0</v>
      </c>
      <c r="L111" t="str">
        <f t="shared" si="6"/>
        <v>-0</v>
      </c>
      <c r="N111" s="2">
        <v>-6</v>
      </c>
      <c r="O111" s="2">
        <v>0</v>
      </c>
      <c r="P111" s="2">
        <v>0</v>
      </c>
    </row>
    <row r="112" spans="1:16" x14ac:dyDescent="0.25">
      <c r="A112" s="1">
        <v>44673</v>
      </c>
      <c r="B112">
        <v>23</v>
      </c>
      <c r="C112">
        <v>15</v>
      </c>
      <c r="D112">
        <v>46.89</v>
      </c>
      <c r="E112" s="2" t="s">
        <v>0</v>
      </c>
      <c r="F112">
        <v>5</v>
      </c>
      <c r="G112">
        <v>37</v>
      </c>
      <c r="H112">
        <v>25.5</v>
      </c>
      <c r="J112" t="str">
        <f t="shared" si="4"/>
        <v>-5</v>
      </c>
      <c r="K112" t="str">
        <f t="shared" si="5"/>
        <v>-37</v>
      </c>
      <c r="L112" t="str">
        <f t="shared" si="6"/>
        <v>-25,5</v>
      </c>
      <c r="N112" s="2">
        <v>-5</v>
      </c>
      <c r="O112" s="2">
        <v>-37</v>
      </c>
      <c r="P112" s="2">
        <v>-25.5</v>
      </c>
    </row>
    <row r="113" spans="1:16" x14ac:dyDescent="0.25">
      <c r="A113" s="1">
        <v>44674</v>
      </c>
      <c r="B113">
        <v>23</v>
      </c>
      <c r="C113">
        <v>20</v>
      </c>
      <c r="D113">
        <v>1.24</v>
      </c>
      <c r="E113" s="2" t="s">
        <v>0</v>
      </c>
      <c r="F113">
        <v>5</v>
      </c>
      <c r="G113">
        <v>14</v>
      </c>
      <c r="H113">
        <v>36.5</v>
      </c>
      <c r="J113" t="str">
        <f t="shared" si="4"/>
        <v>-5</v>
      </c>
      <c r="K113" t="str">
        <f t="shared" si="5"/>
        <v>-14</v>
      </c>
      <c r="L113" t="str">
        <f t="shared" si="6"/>
        <v>-36,5</v>
      </c>
      <c r="N113" s="2">
        <v>-5</v>
      </c>
      <c r="O113" s="2">
        <v>-14</v>
      </c>
      <c r="P113" s="2">
        <v>-36.5</v>
      </c>
    </row>
    <row r="114" spans="1:16" x14ac:dyDescent="0.25">
      <c r="A114" s="1">
        <v>44675</v>
      </c>
      <c r="B114">
        <v>23</v>
      </c>
      <c r="C114">
        <v>24</v>
      </c>
      <c r="D114">
        <v>15.65</v>
      </c>
      <c r="E114" s="2" t="s">
        <v>0</v>
      </c>
      <c r="F114">
        <v>4</v>
      </c>
      <c r="G114">
        <v>51</v>
      </c>
      <c r="H114">
        <v>33.5</v>
      </c>
      <c r="J114" t="str">
        <f t="shared" si="4"/>
        <v>-4</v>
      </c>
      <c r="K114" t="str">
        <f t="shared" si="5"/>
        <v>-51</v>
      </c>
      <c r="L114" t="str">
        <f t="shared" si="6"/>
        <v>-33,5</v>
      </c>
      <c r="N114" s="2">
        <v>-4</v>
      </c>
      <c r="O114" s="2">
        <v>-51</v>
      </c>
      <c r="P114" s="2">
        <v>-33.5</v>
      </c>
    </row>
    <row r="115" spans="1:16" x14ac:dyDescent="0.25">
      <c r="A115" s="1">
        <v>44676</v>
      </c>
      <c r="B115">
        <v>23</v>
      </c>
      <c r="C115">
        <v>28</v>
      </c>
      <c r="D115">
        <v>30.11</v>
      </c>
      <c r="E115" s="2" t="s">
        <v>0</v>
      </c>
      <c r="F115">
        <v>4</v>
      </c>
      <c r="G115">
        <v>28</v>
      </c>
      <c r="H115">
        <v>17.2</v>
      </c>
      <c r="J115" t="str">
        <f t="shared" si="4"/>
        <v>-4</v>
      </c>
      <c r="K115" t="str">
        <f t="shared" si="5"/>
        <v>-28</v>
      </c>
      <c r="L115" t="str">
        <f t="shared" si="6"/>
        <v>-17,2</v>
      </c>
      <c r="N115" s="2">
        <v>-4</v>
      </c>
      <c r="O115" s="2">
        <v>-28</v>
      </c>
      <c r="P115" s="2">
        <v>-17.2</v>
      </c>
    </row>
    <row r="116" spans="1:16" x14ac:dyDescent="0.25">
      <c r="A116" s="1">
        <v>44677</v>
      </c>
      <c r="B116">
        <v>23</v>
      </c>
      <c r="C116">
        <v>32</v>
      </c>
      <c r="D116">
        <v>44.63</v>
      </c>
      <c r="E116" s="2" t="s">
        <v>0</v>
      </c>
      <c r="F116">
        <v>4</v>
      </c>
      <c r="G116">
        <v>4</v>
      </c>
      <c r="H116">
        <v>48.3</v>
      </c>
      <c r="J116" t="str">
        <f t="shared" si="4"/>
        <v>-4</v>
      </c>
      <c r="K116" t="str">
        <f t="shared" si="5"/>
        <v>-4</v>
      </c>
      <c r="L116" t="str">
        <f t="shared" si="6"/>
        <v>-48,3</v>
      </c>
      <c r="N116" s="2">
        <v>-4</v>
      </c>
      <c r="O116" s="2">
        <v>-4</v>
      </c>
      <c r="P116" s="2">
        <v>-48.3</v>
      </c>
    </row>
    <row r="117" spans="1:16" x14ac:dyDescent="0.25">
      <c r="A117" s="1">
        <v>44678</v>
      </c>
      <c r="B117">
        <v>23</v>
      </c>
      <c r="C117">
        <v>36</v>
      </c>
      <c r="D117">
        <v>59.21</v>
      </c>
      <c r="E117" s="2" t="s">
        <v>0</v>
      </c>
      <c r="F117">
        <v>3</v>
      </c>
      <c r="G117">
        <v>41</v>
      </c>
      <c r="H117">
        <v>7.3</v>
      </c>
      <c r="J117" t="str">
        <f t="shared" si="4"/>
        <v>-3</v>
      </c>
      <c r="K117" t="str">
        <f t="shared" si="5"/>
        <v>-41</v>
      </c>
      <c r="L117" t="str">
        <f t="shared" si="6"/>
        <v>-7,3</v>
      </c>
      <c r="N117" s="2">
        <v>-3</v>
      </c>
      <c r="O117" s="2">
        <v>-41</v>
      </c>
      <c r="P117" s="2">
        <v>-7.3</v>
      </c>
    </row>
    <row r="118" spans="1:16" x14ac:dyDescent="0.25">
      <c r="A118" s="1">
        <v>44679</v>
      </c>
      <c r="B118">
        <v>23</v>
      </c>
      <c r="C118">
        <v>41</v>
      </c>
      <c r="D118">
        <v>13.87</v>
      </c>
      <c r="E118" s="2" t="s">
        <v>0</v>
      </c>
      <c r="F118">
        <v>3</v>
      </c>
      <c r="G118">
        <v>17</v>
      </c>
      <c r="H118">
        <v>14.8</v>
      </c>
      <c r="J118" t="str">
        <f t="shared" si="4"/>
        <v>-3</v>
      </c>
      <c r="K118" t="str">
        <f t="shared" si="5"/>
        <v>-17</v>
      </c>
      <c r="L118" t="str">
        <f t="shared" si="6"/>
        <v>-14,8</v>
      </c>
      <c r="N118" s="2">
        <v>-3</v>
      </c>
      <c r="O118" s="2">
        <v>-17</v>
      </c>
      <c r="P118" s="2">
        <v>-14.8</v>
      </c>
    </row>
    <row r="119" spans="1:16" x14ac:dyDescent="0.25">
      <c r="A119" s="1">
        <v>44680</v>
      </c>
      <c r="B119">
        <v>23</v>
      </c>
      <c r="C119">
        <v>45</v>
      </c>
      <c r="D119">
        <v>28.6</v>
      </c>
      <c r="E119" s="2" t="s">
        <v>0</v>
      </c>
      <c r="F119">
        <v>2</v>
      </c>
      <c r="G119">
        <v>53</v>
      </c>
      <c r="H119">
        <v>11.7</v>
      </c>
      <c r="J119" t="str">
        <f t="shared" si="4"/>
        <v>-2</v>
      </c>
      <c r="K119" t="str">
        <f t="shared" si="5"/>
        <v>-53</v>
      </c>
      <c r="L119" t="str">
        <f t="shared" si="6"/>
        <v>-11,7</v>
      </c>
      <c r="N119" s="2">
        <v>-2</v>
      </c>
      <c r="O119" s="2">
        <v>-53</v>
      </c>
      <c r="P119" s="2">
        <v>-11.7</v>
      </c>
    </row>
    <row r="120" spans="1:16" x14ac:dyDescent="0.25">
      <c r="A120" s="1">
        <v>44681</v>
      </c>
      <c r="B120">
        <v>23</v>
      </c>
      <c r="C120">
        <v>49</v>
      </c>
      <c r="D120">
        <v>43.43</v>
      </c>
      <c r="E120" s="2" t="s">
        <v>0</v>
      </c>
      <c r="F120">
        <v>2</v>
      </c>
      <c r="G120">
        <v>28</v>
      </c>
      <c r="H120">
        <v>58.4</v>
      </c>
      <c r="J120" t="str">
        <f t="shared" si="4"/>
        <v>-2</v>
      </c>
      <c r="K120" t="str">
        <f t="shared" si="5"/>
        <v>-28</v>
      </c>
      <c r="L120" t="str">
        <f t="shared" si="6"/>
        <v>-58,4</v>
      </c>
      <c r="N120" s="2">
        <v>-2</v>
      </c>
      <c r="O120" s="2">
        <v>-28</v>
      </c>
      <c r="P120" s="2">
        <v>-58.4</v>
      </c>
    </row>
    <row r="121" spans="1:16" x14ac:dyDescent="0.25">
      <c r="A121" s="1">
        <v>44682</v>
      </c>
      <c r="B121">
        <v>23</v>
      </c>
      <c r="C121">
        <v>53</v>
      </c>
      <c r="D121">
        <v>58.35</v>
      </c>
      <c r="E121" s="2" t="s">
        <v>0</v>
      </c>
      <c r="F121">
        <v>2</v>
      </c>
      <c r="G121">
        <v>4</v>
      </c>
      <c r="H121">
        <v>35.700000000000003</v>
      </c>
      <c r="J121" t="str">
        <f t="shared" si="4"/>
        <v>-2</v>
      </c>
      <c r="K121" t="str">
        <f t="shared" si="5"/>
        <v>-4</v>
      </c>
      <c r="L121" t="str">
        <f t="shared" si="6"/>
        <v>-35,7</v>
      </c>
      <c r="N121" s="2">
        <v>-2</v>
      </c>
      <c r="O121" s="2">
        <v>-4</v>
      </c>
      <c r="P121" s="2">
        <v>-35.700000000000003</v>
      </c>
    </row>
    <row r="122" spans="1:16" x14ac:dyDescent="0.25">
      <c r="A122" s="1">
        <v>44683</v>
      </c>
      <c r="B122">
        <v>23</v>
      </c>
      <c r="C122">
        <v>58</v>
      </c>
      <c r="D122">
        <v>13.39</v>
      </c>
      <c r="E122" s="2" t="s">
        <v>0</v>
      </c>
      <c r="F122">
        <v>1</v>
      </c>
      <c r="G122">
        <v>40</v>
      </c>
      <c r="H122">
        <v>4.0999999999999996</v>
      </c>
      <c r="J122" t="str">
        <f t="shared" si="4"/>
        <v>-1</v>
      </c>
      <c r="K122" t="str">
        <f t="shared" si="5"/>
        <v>-40</v>
      </c>
      <c r="L122" t="str">
        <f t="shared" si="6"/>
        <v>-4,1</v>
      </c>
      <c r="N122" s="2">
        <v>-1</v>
      </c>
      <c r="O122" s="2">
        <v>-40</v>
      </c>
      <c r="P122" s="2">
        <v>-4.0999999999999996</v>
      </c>
    </row>
    <row r="123" spans="1:16" x14ac:dyDescent="0.25">
      <c r="A123" s="1">
        <v>44684</v>
      </c>
      <c r="B123">
        <v>0</v>
      </c>
      <c r="C123">
        <v>2</v>
      </c>
      <c r="D123">
        <v>28.56</v>
      </c>
      <c r="E123" s="2" t="s">
        <v>0</v>
      </c>
      <c r="F123">
        <v>1</v>
      </c>
      <c r="G123">
        <v>15</v>
      </c>
      <c r="H123">
        <v>24.4</v>
      </c>
      <c r="J123" t="str">
        <f t="shared" si="4"/>
        <v>-1</v>
      </c>
      <c r="K123" t="str">
        <f t="shared" si="5"/>
        <v>-15</v>
      </c>
      <c r="L123" t="str">
        <f t="shared" si="6"/>
        <v>-24,4</v>
      </c>
      <c r="N123" s="2">
        <v>-1</v>
      </c>
      <c r="O123" s="2">
        <v>-15</v>
      </c>
      <c r="P123" s="2">
        <v>-24.4</v>
      </c>
    </row>
    <row r="124" spans="1:16" x14ac:dyDescent="0.25">
      <c r="A124" s="1">
        <v>44685</v>
      </c>
      <c r="B124">
        <v>0</v>
      </c>
      <c r="C124">
        <v>6</v>
      </c>
      <c r="D124">
        <v>43.88</v>
      </c>
      <c r="E124" s="2" t="s">
        <v>0</v>
      </c>
      <c r="F124">
        <v>0</v>
      </c>
      <c r="G124">
        <v>50</v>
      </c>
      <c r="H124">
        <v>37.1</v>
      </c>
      <c r="J124" t="str">
        <f t="shared" si="4"/>
        <v>-0</v>
      </c>
      <c r="K124" t="str">
        <f t="shared" si="5"/>
        <v>-50</v>
      </c>
      <c r="L124" t="str">
        <f t="shared" si="6"/>
        <v>-37,1</v>
      </c>
      <c r="N124" s="2">
        <v>0</v>
      </c>
      <c r="O124" s="2">
        <v>-50</v>
      </c>
      <c r="P124" s="2">
        <v>-37.1</v>
      </c>
    </row>
    <row r="125" spans="1:16" x14ac:dyDescent="0.25">
      <c r="A125" s="1">
        <v>44686</v>
      </c>
      <c r="B125">
        <v>0</v>
      </c>
      <c r="C125">
        <v>10</v>
      </c>
      <c r="D125">
        <v>59.36</v>
      </c>
      <c r="E125" s="2" t="s">
        <v>0</v>
      </c>
      <c r="F125">
        <v>0</v>
      </c>
      <c r="G125">
        <v>25</v>
      </c>
      <c r="H125">
        <v>43</v>
      </c>
      <c r="J125" t="str">
        <f t="shared" si="4"/>
        <v>-0</v>
      </c>
      <c r="K125" t="str">
        <f t="shared" si="5"/>
        <v>-25</v>
      </c>
      <c r="L125" t="str">
        <f t="shared" si="6"/>
        <v>-43</v>
      </c>
      <c r="N125" s="2">
        <v>0</v>
      </c>
      <c r="O125" s="2">
        <v>-25</v>
      </c>
      <c r="P125" s="2">
        <v>-43</v>
      </c>
    </row>
    <row r="126" spans="1:16" x14ac:dyDescent="0.25">
      <c r="A126" s="1">
        <v>44687</v>
      </c>
      <c r="B126">
        <v>0</v>
      </c>
      <c r="C126">
        <v>15</v>
      </c>
      <c r="D126">
        <v>15.03</v>
      </c>
      <c r="E126" s="2" t="s">
        <v>0</v>
      </c>
      <c r="F126">
        <v>0</v>
      </c>
      <c r="G126">
        <v>0</v>
      </c>
      <c r="H126">
        <v>42.6</v>
      </c>
      <c r="J126" t="str">
        <f t="shared" si="4"/>
        <v>-0</v>
      </c>
      <c r="K126" t="str">
        <f t="shared" si="5"/>
        <v>-0</v>
      </c>
      <c r="L126" t="str">
        <f t="shared" si="6"/>
        <v>-42,6</v>
      </c>
      <c r="N126" s="2">
        <v>0</v>
      </c>
      <c r="O126" s="2">
        <v>0</v>
      </c>
      <c r="P126" s="2">
        <v>-42.6</v>
      </c>
    </row>
    <row r="127" spans="1:16" x14ac:dyDescent="0.25">
      <c r="A127" s="1">
        <v>44688</v>
      </c>
      <c r="B127">
        <v>0</v>
      </c>
      <c r="C127">
        <v>19</v>
      </c>
      <c r="D127">
        <v>30.89</v>
      </c>
      <c r="E127" s="2" t="s">
        <v>1</v>
      </c>
      <c r="F127">
        <v>0</v>
      </c>
      <c r="G127">
        <v>24</v>
      </c>
      <c r="H127">
        <v>23.5</v>
      </c>
      <c r="J127" t="str">
        <f t="shared" si="4"/>
        <v>+0</v>
      </c>
      <c r="K127" t="str">
        <f t="shared" si="5"/>
        <v>+24</v>
      </c>
      <c r="L127" t="str">
        <f t="shared" si="6"/>
        <v>+23,5</v>
      </c>
      <c r="N127" s="2">
        <v>0</v>
      </c>
      <c r="O127" s="2">
        <v>24</v>
      </c>
      <c r="P127" s="2">
        <v>23.5</v>
      </c>
    </row>
    <row r="128" spans="1:16" x14ac:dyDescent="0.25">
      <c r="A128" s="1">
        <v>44689</v>
      </c>
      <c r="B128">
        <v>0</v>
      </c>
      <c r="C128">
        <v>23</v>
      </c>
      <c r="D128">
        <v>46.99</v>
      </c>
      <c r="E128" s="2" t="s">
        <v>1</v>
      </c>
      <c r="F128">
        <v>0</v>
      </c>
      <c r="G128">
        <v>49</v>
      </c>
      <c r="H128">
        <v>34.5</v>
      </c>
      <c r="J128" t="str">
        <f t="shared" si="4"/>
        <v>+0</v>
      </c>
      <c r="K128" t="str">
        <f t="shared" si="5"/>
        <v>+49</v>
      </c>
      <c r="L128" t="str">
        <f t="shared" si="6"/>
        <v>+34,5</v>
      </c>
      <c r="N128" s="2">
        <v>0</v>
      </c>
      <c r="O128" s="2">
        <v>49</v>
      </c>
      <c r="P128" s="2">
        <v>34.5</v>
      </c>
    </row>
    <row r="129" spans="1:16" x14ac:dyDescent="0.25">
      <c r="A129" s="1">
        <v>44690</v>
      </c>
      <c r="B129">
        <v>0</v>
      </c>
      <c r="C129">
        <v>28</v>
      </c>
      <c r="D129">
        <v>3.33</v>
      </c>
      <c r="E129" s="2" t="s">
        <v>1</v>
      </c>
      <c r="F129">
        <v>1</v>
      </c>
      <c r="G129">
        <v>14</v>
      </c>
      <c r="H129">
        <v>49.9</v>
      </c>
      <c r="J129" t="str">
        <f t="shared" si="4"/>
        <v>+1</v>
      </c>
      <c r="K129" t="str">
        <f t="shared" si="5"/>
        <v>+14</v>
      </c>
      <c r="L129" t="str">
        <f t="shared" si="6"/>
        <v>+49,9</v>
      </c>
      <c r="N129" s="2">
        <v>1</v>
      </c>
      <c r="O129" s="2">
        <v>14</v>
      </c>
      <c r="P129" s="2">
        <v>49.9</v>
      </c>
    </row>
    <row r="130" spans="1:16" x14ac:dyDescent="0.25">
      <c r="A130" s="1">
        <v>44691</v>
      </c>
      <c r="B130">
        <v>0</v>
      </c>
      <c r="C130">
        <v>32</v>
      </c>
      <c r="D130">
        <v>19.95</v>
      </c>
      <c r="E130" s="2" t="s">
        <v>1</v>
      </c>
      <c r="F130">
        <v>1</v>
      </c>
      <c r="G130">
        <v>40</v>
      </c>
      <c r="H130">
        <v>9</v>
      </c>
      <c r="J130" t="str">
        <f t="shared" ref="J130:J193" si="7">$E130&amp;F130</f>
        <v>+1</v>
      </c>
      <c r="K130" t="str">
        <f t="shared" ref="K130:K193" si="8">$E130&amp;G130</f>
        <v>+40</v>
      </c>
      <c r="L130" t="str">
        <f t="shared" ref="L130:L193" si="9">$E130&amp;H130</f>
        <v>+9</v>
      </c>
      <c r="N130" s="2">
        <v>1</v>
      </c>
      <c r="O130" s="2">
        <v>40</v>
      </c>
      <c r="P130" s="2">
        <v>9</v>
      </c>
    </row>
    <row r="131" spans="1:16" x14ac:dyDescent="0.25">
      <c r="A131" s="1">
        <v>44692</v>
      </c>
      <c r="B131">
        <v>0</v>
      </c>
      <c r="C131">
        <v>36</v>
      </c>
      <c r="D131">
        <v>36.86</v>
      </c>
      <c r="E131" s="2" t="s">
        <v>1</v>
      </c>
      <c r="F131">
        <v>2</v>
      </c>
      <c r="G131">
        <v>5</v>
      </c>
      <c r="H131">
        <v>31.2</v>
      </c>
      <c r="J131" t="str">
        <f t="shared" si="7"/>
        <v>+2</v>
      </c>
      <c r="K131" t="str">
        <f t="shared" si="8"/>
        <v>+5</v>
      </c>
      <c r="L131" t="str">
        <f t="shared" si="9"/>
        <v>+31,2</v>
      </c>
      <c r="N131" s="2">
        <v>2</v>
      </c>
      <c r="O131" s="2">
        <v>5</v>
      </c>
      <c r="P131" s="2">
        <v>31.2</v>
      </c>
    </row>
    <row r="132" spans="1:16" x14ac:dyDescent="0.25">
      <c r="A132" s="1">
        <v>44693</v>
      </c>
      <c r="B132">
        <v>0</v>
      </c>
      <c r="C132">
        <v>40</v>
      </c>
      <c r="D132">
        <v>54.09</v>
      </c>
      <c r="E132" s="2" t="s">
        <v>1</v>
      </c>
      <c r="F132">
        <v>2</v>
      </c>
      <c r="G132">
        <v>30</v>
      </c>
      <c r="H132">
        <v>55.9</v>
      </c>
      <c r="J132" t="str">
        <f t="shared" si="7"/>
        <v>+2</v>
      </c>
      <c r="K132" t="str">
        <f t="shared" si="8"/>
        <v>+30</v>
      </c>
      <c r="L132" t="str">
        <f t="shared" si="9"/>
        <v>+55,9</v>
      </c>
      <c r="N132" s="2">
        <v>2</v>
      </c>
      <c r="O132" s="2">
        <v>30</v>
      </c>
      <c r="P132" s="2">
        <v>55.9</v>
      </c>
    </row>
    <row r="133" spans="1:16" x14ac:dyDescent="0.25">
      <c r="A133" s="1">
        <v>44694</v>
      </c>
      <c r="B133">
        <v>0</v>
      </c>
      <c r="C133">
        <v>45</v>
      </c>
      <c r="D133">
        <v>11.68</v>
      </c>
      <c r="E133" s="2" t="s">
        <v>1</v>
      </c>
      <c r="F133">
        <v>2</v>
      </c>
      <c r="G133">
        <v>56</v>
      </c>
      <c r="H133">
        <v>22.4</v>
      </c>
      <c r="J133" t="str">
        <f t="shared" si="7"/>
        <v>+2</v>
      </c>
      <c r="K133" t="str">
        <f t="shared" si="8"/>
        <v>+56</v>
      </c>
      <c r="L133" t="str">
        <f t="shared" si="9"/>
        <v>+22,4</v>
      </c>
      <c r="N133" s="2">
        <v>2</v>
      </c>
      <c r="O133" s="2">
        <v>56</v>
      </c>
      <c r="P133" s="2">
        <v>22.4</v>
      </c>
    </row>
    <row r="134" spans="1:16" x14ac:dyDescent="0.25">
      <c r="A134" s="1">
        <v>44695</v>
      </c>
      <c r="B134">
        <v>0</v>
      </c>
      <c r="C134">
        <v>49</v>
      </c>
      <c r="D134">
        <v>29.64</v>
      </c>
      <c r="E134" s="2" t="s">
        <v>1</v>
      </c>
      <c r="F134">
        <v>3</v>
      </c>
      <c r="G134">
        <v>21</v>
      </c>
      <c r="H134">
        <v>50.1</v>
      </c>
      <c r="J134" t="str">
        <f t="shared" si="7"/>
        <v>+3</v>
      </c>
      <c r="K134" t="str">
        <f t="shared" si="8"/>
        <v>+21</v>
      </c>
      <c r="L134" t="str">
        <f t="shared" si="9"/>
        <v>+50,1</v>
      </c>
      <c r="N134" s="2">
        <v>3</v>
      </c>
      <c r="O134" s="2">
        <v>21</v>
      </c>
      <c r="P134" s="2">
        <v>50.1</v>
      </c>
    </row>
    <row r="135" spans="1:16" x14ac:dyDescent="0.25">
      <c r="A135" s="1">
        <v>44696</v>
      </c>
      <c r="B135">
        <v>0</v>
      </c>
      <c r="C135">
        <v>53</v>
      </c>
      <c r="D135">
        <v>48</v>
      </c>
      <c r="E135" s="2" t="s">
        <v>1</v>
      </c>
      <c r="F135">
        <v>3</v>
      </c>
      <c r="G135">
        <v>47</v>
      </c>
      <c r="H135">
        <v>18.399999999999999</v>
      </c>
      <c r="J135" t="str">
        <f t="shared" si="7"/>
        <v>+3</v>
      </c>
      <c r="K135" t="str">
        <f t="shared" si="8"/>
        <v>+47</v>
      </c>
      <c r="L135" t="str">
        <f t="shared" si="9"/>
        <v>+18,4</v>
      </c>
      <c r="N135" s="2">
        <v>3</v>
      </c>
      <c r="O135" s="2">
        <v>47</v>
      </c>
      <c r="P135" s="2">
        <v>18.399999999999999</v>
      </c>
    </row>
    <row r="136" spans="1:16" x14ac:dyDescent="0.25">
      <c r="A136" s="1">
        <v>44697</v>
      </c>
      <c r="B136">
        <v>0</v>
      </c>
      <c r="C136">
        <v>58</v>
      </c>
      <c r="D136">
        <v>6.81</v>
      </c>
      <c r="E136" s="2" t="s">
        <v>1</v>
      </c>
      <c r="F136">
        <v>4</v>
      </c>
      <c r="G136">
        <v>12</v>
      </c>
      <c r="H136">
        <v>46.7</v>
      </c>
      <c r="J136" t="str">
        <f t="shared" si="7"/>
        <v>+4</v>
      </c>
      <c r="K136" t="str">
        <f t="shared" si="8"/>
        <v>+12</v>
      </c>
      <c r="L136" t="str">
        <f t="shared" si="9"/>
        <v>+46,7</v>
      </c>
      <c r="N136" s="2">
        <v>4</v>
      </c>
      <c r="O136" s="2">
        <v>12</v>
      </c>
      <c r="P136" s="2">
        <v>46.7</v>
      </c>
    </row>
    <row r="137" spans="1:16" x14ac:dyDescent="0.25">
      <c r="A137" s="1">
        <v>44698</v>
      </c>
      <c r="B137">
        <v>1</v>
      </c>
      <c r="C137">
        <v>2</v>
      </c>
      <c r="D137">
        <v>26.07</v>
      </c>
      <c r="E137" s="2" t="s">
        <v>1</v>
      </c>
      <c r="F137">
        <v>4</v>
      </c>
      <c r="G137">
        <v>38</v>
      </c>
      <c r="H137">
        <v>14.3</v>
      </c>
      <c r="J137" t="str">
        <f t="shared" si="7"/>
        <v>+4</v>
      </c>
      <c r="K137" t="str">
        <f t="shared" si="8"/>
        <v>+38</v>
      </c>
      <c r="L137" t="str">
        <f t="shared" si="9"/>
        <v>+14,3</v>
      </c>
      <c r="N137" s="2">
        <v>4</v>
      </c>
      <c r="O137" s="2">
        <v>38</v>
      </c>
      <c r="P137" s="2">
        <v>14.3</v>
      </c>
    </row>
    <row r="138" spans="1:16" x14ac:dyDescent="0.25">
      <c r="A138" s="1">
        <v>44699</v>
      </c>
      <c r="B138">
        <v>1</v>
      </c>
      <c r="C138">
        <v>6</v>
      </c>
      <c r="D138">
        <v>45.83</v>
      </c>
      <c r="E138" s="2" t="s">
        <v>1</v>
      </c>
      <c r="F138">
        <v>5</v>
      </c>
      <c r="G138">
        <v>3</v>
      </c>
      <c r="H138">
        <v>40.700000000000003</v>
      </c>
      <c r="J138" t="str">
        <f t="shared" si="7"/>
        <v>+5</v>
      </c>
      <c r="K138" t="str">
        <f t="shared" si="8"/>
        <v>+3</v>
      </c>
      <c r="L138" t="str">
        <f t="shared" si="9"/>
        <v>+40,7</v>
      </c>
      <c r="N138" s="2">
        <v>5</v>
      </c>
      <c r="O138" s="2">
        <v>3</v>
      </c>
      <c r="P138" s="2">
        <v>40.700000000000003</v>
      </c>
    </row>
    <row r="139" spans="1:16" x14ac:dyDescent="0.25">
      <c r="A139" s="1">
        <v>44700</v>
      </c>
      <c r="B139">
        <v>1</v>
      </c>
      <c r="C139">
        <v>11</v>
      </c>
      <c r="D139">
        <v>6.1</v>
      </c>
      <c r="E139" s="2" t="s">
        <v>1</v>
      </c>
      <c r="F139">
        <v>5</v>
      </c>
      <c r="G139">
        <v>29</v>
      </c>
      <c r="H139">
        <v>5</v>
      </c>
      <c r="J139" t="str">
        <f t="shared" si="7"/>
        <v>+5</v>
      </c>
      <c r="K139" t="str">
        <f t="shared" si="8"/>
        <v>+29</v>
      </c>
      <c r="L139" t="str">
        <f t="shared" si="9"/>
        <v>+5</v>
      </c>
      <c r="N139" s="2">
        <v>5</v>
      </c>
      <c r="O139" s="2">
        <v>29</v>
      </c>
      <c r="P139" s="2">
        <v>5</v>
      </c>
    </row>
    <row r="140" spans="1:16" x14ac:dyDescent="0.25">
      <c r="A140" s="1">
        <v>44701</v>
      </c>
      <c r="B140">
        <v>1</v>
      </c>
      <c r="C140">
        <v>15</v>
      </c>
      <c r="D140">
        <v>26.92</v>
      </c>
      <c r="E140" s="2" t="s">
        <v>1</v>
      </c>
      <c r="F140">
        <v>5</v>
      </c>
      <c r="G140">
        <v>54</v>
      </c>
      <c r="H140">
        <v>26.8</v>
      </c>
      <c r="J140" t="str">
        <f t="shared" si="7"/>
        <v>+5</v>
      </c>
      <c r="K140" t="str">
        <f t="shared" si="8"/>
        <v>+54</v>
      </c>
      <c r="L140" t="str">
        <f t="shared" si="9"/>
        <v>+26,8</v>
      </c>
      <c r="N140" s="2">
        <v>5</v>
      </c>
      <c r="O140" s="2">
        <v>54</v>
      </c>
      <c r="P140" s="2">
        <v>26.8</v>
      </c>
    </row>
    <row r="141" spans="1:16" x14ac:dyDescent="0.25">
      <c r="A141" s="1">
        <v>44702</v>
      </c>
      <c r="B141">
        <v>1</v>
      </c>
      <c r="C141">
        <v>19</v>
      </c>
      <c r="D141">
        <v>48.32</v>
      </c>
      <c r="E141" s="2" t="s">
        <v>1</v>
      </c>
      <c r="F141">
        <v>6</v>
      </c>
      <c r="G141">
        <v>19</v>
      </c>
      <c r="H141">
        <v>45.3</v>
      </c>
      <c r="J141" t="str">
        <f t="shared" si="7"/>
        <v>+6</v>
      </c>
      <c r="K141" t="str">
        <f t="shared" si="8"/>
        <v>+19</v>
      </c>
      <c r="L141" t="str">
        <f t="shared" si="9"/>
        <v>+45,3</v>
      </c>
      <c r="N141" s="2">
        <v>6</v>
      </c>
      <c r="O141" s="2">
        <v>19</v>
      </c>
      <c r="P141" s="2">
        <v>45.3</v>
      </c>
    </row>
    <row r="142" spans="1:16" x14ac:dyDescent="0.25">
      <c r="A142" s="1">
        <v>44703</v>
      </c>
      <c r="B142">
        <v>1</v>
      </c>
      <c r="C142">
        <v>24</v>
      </c>
      <c r="D142">
        <v>10.31</v>
      </c>
      <c r="E142" s="2" t="s">
        <v>1</v>
      </c>
      <c r="F142">
        <v>6</v>
      </c>
      <c r="G142">
        <v>44</v>
      </c>
      <c r="H142">
        <v>59.9</v>
      </c>
      <c r="J142" t="str">
        <f t="shared" si="7"/>
        <v>+6</v>
      </c>
      <c r="K142" t="str">
        <f t="shared" si="8"/>
        <v>+44</v>
      </c>
      <c r="L142" t="str">
        <f t="shared" si="9"/>
        <v>+59,9</v>
      </c>
      <c r="N142" s="2">
        <v>6</v>
      </c>
      <c r="O142" s="2">
        <v>44</v>
      </c>
      <c r="P142" s="2">
        <v>59.9</v>
      </c>
    </row>
    <row r="143" spans="1:16" x14ac:dyDescent="0.25">
      <c r="A143" s="1">
        <v>44704</v>
      </c>
      <c r="B143">
        <v>1</v>
      </c>
      <c r="C143">
        <v>28</v>
      </c>
      <c r="D143">
        <v>32.93</v>
      </c>
      <c r="E143" s="2" t="s">
        <v>1</v>
      </c>
      <c r="F143">
        <v>7</v>
      </c>
      <c r="G143">
        <v>10</v>
      </c>
      <c r="H143">
        <v>9.9</v>
      </c>
      <c r="J143" t="str">
        <f t="shared" si="7"/>
        <v>+7</v>
      </c>
      <c r="K143" t="str">
        <f t="shared" si="8"/>
        <v>+10</v>
      </c>
      <c r="L143" t="str">
        <f t="shared" si="9"/>
        <v>+9,9</v>
      </c>
      <c r="N143" s="2">
        <v>7</v>
      </c>
      <c r="O143" s="2">
        <v>10</v>
      </c>
      <c r="P143" s="2">
        <v>9.9</v>
      </c>
    </row>
    <row r="144" spans="1:16" x14ac:dyDescent="0.25">
      <c r="A144" s="1">
        <v>44705</v>
      </c>
      <c r="B144">
        <v>1</v>
      </c>
      <c r="C144">
        <v>32</v>
      </c>
      <c r="D144">
        <v>56.2</v>
      </c>
      <c r="E144" s="2" t="s">
        <v>1</v>
      </c>
      <c r="F144">
        <v>7</v>
      </c>
      <c r="G144">
        <v>35</v>
      </c>
      <c r="H144">
        <v>14.5</v>
      </c>
      <c r="J144" t="str">
        <f t="shared" si="7"/>
        <v>+7</v>
      </c>
      <c r="K144" t="str">
        <f t="shared" si="8"/>
        <v>+35</v>
      </c>
      <c r="L144" t="str">
        <f t="shared" si="9"/>
        <v>+14,5</v>
      </c>
      <c r="N144" s="2">
        <v>7</v>
      </c>
      <c r="O144" s="2">
        <v>35</v>
      </c>
      <c r="P144" s="2">
        <v>14.5</v>
      </c>
    </row>
    <row r="145" spans="1:16" x14ac:dyDescent="0.25">
      <c r="A145" s="1">
        <v>44706</v>
      </c>
      <c r="B145">
        <v>1</v>
      </c>
      <c r="C145">
        <v>37</v>
      </c>
      <c r="D145">
        <v>20.13</v>
      </c>
      <c r="E145" s="2" t="s">
        <v>1</v>
      </c>
      <c r="F145">
        <v>8</v>
      </c>
      <c r="G145">
        <v>0</v>
      </c>
      <c r="H145">
        <v>13.1</v>
      </c>
      <c r="J145" t="str">
        <f t="shared" si="7"/>
        <v>+8</v>
      </c>
      <c r="K145" t="str">
        <f t="shared" si="8"/>
        <v>+0</v>
      </c>
      <c r="L145" t="str">
        <f t="shared" si="9"/>
        <v>+13,1</v>
      </c>
      <c r="N145" s="2">
        <v>8</v>
      </c>
      <c r="O145" s="2">
        <v>0</v>
      </c>
      <c r="P145" s="2">
        <v>13.1</v>
      </c>
    </row>
    <row r="146" spans="1:16" x14ac:dyDescent="0.25">
      <c r="A146" s="1">
        <v>44707</v>
      </c>
      <c r="B146">
        <v>1</v>
      </c>
      <c r="C146">
        <v>41</v>
      </c>
      <c r="D146">
        <v>44.76</v>
      </c>
      <c r="E146" s="2" t="s">
        <v>1</v>
      </c>
      <c r="F146">
        <v>8</v>
      </c>
      <c r="G146">
        <v>25</v>
      </c>
      <c r="H146">
        <v>5</v>
      </c>
      <c r="J146" t="str">
        <f t="shared" si="7"/>
        <v>+8</v>
      </c>
      <c r="K146" t="str">
        <f t="shared" si="8"/>
        <v>+25</v>
      </c>
      <c r="L146" t="str">
        <f t="shared" si="9"/>
        <v>+5</v>
      </c>
      <c r="N146" s="2">
        <v>8</v>
      </c>
      <c r="O146" s="2">
        <v>25</v>
      </c>
      <c r="P146" s="2">
        <v>5</v>
      </c>
    </row>
    <row r="147" spans="1:16" x14ac:dyDescent="0.25">
      <c r="A147" s="1">
        <v>44708</v>
      </c>
      <c r="B147">
        <v>1</v>
      </c>
      <c r="C147">
        <v>46</v>
      </c>
      <c r="D147">
        <v>10.1</v>
      </c>
      <c r="E147" s="2" t="s">
        <v>1</v>
      </c>
      <c r="F147">
        <v>8</v>
      </c>
      <c r="G147">
        <v>49</v>
      </c>
      <c r="H147">
        <v>49.5</v>
      </c>
      <c r="J147" t="str">
        <f t="shared" si="7"/>
        <v>+8</v>
      </c>
      <c r="K147" t="str">
        <f t="shared" si="8"/>
        <v>+49</v>
      </c>
      <c r="L147" t="str">
        <f t="shared" si="9"/>
        <v>+49,5</v>
      </c>
      <c r="N147" s="2">
        <v>8</v>
      </c>
      <c r="O147" s="2">
        <v>49</v>
      </c>
      <c r="P147" s="2">
        <v>49.5</v>
      </c>
    </row>
    <row r="148" spans="1:16" x14ac:dyDescent="0.25">
      <c r="A148" s="1">
        <v>44709</v>
      </c>
      <c r="B148">
        <v>1</v>
      </c>
      <c r="C148">
        <v>50</v>
      </c>
      <c r="D148">
        <v>36.18</v>
      </c>
      <c r="E148" s="2" t="s">
        <v>1</v>
      </c>
      <c r="F148">
        <v>9</v>
      </c>
      <c r="G148">
        <v>14</v>
      </c>
      <c r="H148">
        <v>25.9</v>
      </c>
      <c r="J148" t="str">
        <f t="shared" si="7"/>
        <v>+9</v>
      </c>
      <c r="K148" t="str">
        <f t="shared" si="8"/>
        <v>+14</v>
      </c>
      <c r="L148" t="str">
        <f t="shared" si="9"/>
        <v>+25,9</v>
      </c>
      <c r="N148" s="2">
        <v>9</v>
      </c>
      <c r="O148" s="2">
        <v>14</v>
      </c>
      <c r="P148" s="2">
        <v>25.9</v>
      </c>
    </row>
    <row r="149" spans="1:16" x14ac:dyDescent="0.25">
      <c r="A149" s="1">
        <v>44710</v>
      </c>
      <c r="B149">
        <v>1</v>
      </c>
      <c r="C149">
        <v>55</v>
      </c>
      <c r="D149">
        <v>3.03</v>
      </c>
      <c r="E149" s="2" t="s">
        <v>1</v>
      </c>
      <c r="F149">
        <v>9</v>
      </c>
      <c r="G149">
        <v>38</v>
      </c>
      <c r="H149">
        <v>53.5</v>
      </c>
      <c r="J149" t="str">
        <f t="shared" si="7"/>
        <v>+9</v>
      </c>
      <c r="K149" t="str">
        <f t="shared" si="8"/>
        <v>+38</v>
      </c>
      <c r="L149" t="str">
        <f t="shared" si="9"/>
        <v>+53,5</v>
      </c>
      <c r="N149" s="2">
        <v>9</v>
      </c>
      <c r="O149" s="2">
        <v>38</v>
      </c>
      <c r="P149" s="2">
        <v>53.5</v>
      </c>
    </row>
    <row r="150" spans="1:16" x14ac:dyDescent="0.25">
      <c r="A150" s="1">
        <v>44711</v>
      </c>
      <c r="B150">
        <v>1</v>
      </c>
      <c r="C150">
        <v>59</v>
      </c>
      <c r="D150">
        <v>30.65</v>
      </c>
      <c r="E150" s="2" t="s">
        <v>1</v>
      </c>
      <c r="F150">
        <v>10</v>
      </c>
      <c r="G150">
        <v>3</v>
      </c>
      <c r="H150">
        <v>11.5</v>
      </c>
      <c r="J150" t="str">
        <f t="shared" si="7"/>
        <v>+10</v>
      </c>
      <c r="K150" t="str">
        <f t="shared" si="8"/>
        <v>+3</v>
      </c>
      <c r="L150" t="str">
        <f t="shared" si="9"/>
        <v>+11,5</v>
      </c>
      <c r="N150" s="2">
        <v>10</v>
      </c>
      <c r="O150" s="2">
        <v>3</v>
      </c>
      <c r="P150" s="2">
        <v>11.5</v>
      </c>
    </row>
    <row r="151" spans="1:16" x14ac:dyDescent="0.25">
      <c r="A151" s="1">
        <v>44712</v>
      </c>
      <c r="B151">
        <v>2</v>
      </c>
      <c r="C151">
        <v>3</v>
      </c>
      <c r="D151">
        <v>59.09</v>
      </c>
      <c r="E151" s="2" t="s">
        <v>1</v>
      </c>
      <c r="F151">
        <v>10</v>
      </c>
      <c r="G151">
        <v>27</v>
      </c>
      <c r="H151">
        <v>19.3</v>
      </c>
      <c r="J151" t="str">
        <f t="shared" si="7"/>
        <v>+10</v>
      </c>
      <c r="K151" t="str">
        <f t="shared" si="8"/>
        <v>+27</v>
      </c>
      <c r="L151" t="str">
        <f t="shared" si="9"/>
        <v>+19,3</v>
      </c>
      <c r="N151" s="2">
        <v>10</v>
      </c>
      <c r="O151" s="2">
        <v>27</v>
      </c>
      <c r="P151" s="2">
        <v>19.3</v>
      </c>
    </row>
    <row r="152" spans="1:16" x14ac:dyDescent="0.25">
      <c r="A152" s="1">
        <v>44713</v>
      </c>
      <c r="B152">
        <v>2</v>
      </c>
      <c r="C152">
        <v>8</v>
      </c>
      <c r="D152">
        <v>28.36</v>
      </c>
      <c r="E152" s="2" t="s">
        <v>1</v>
      </c>
      <c r="F152">
        <v>10</v>
      </c>
      <c r="G152">
        <v>51</v>
      </c>
      <c r="H152">
        <v>16.3</v>
      </c>
      <c r="J152" t="str">
        <f t="shared" si="7"/>
        <v>+10</v>
      </c>
      <c r="K152" t="str">
        <f t="shared" si="8"/>
        <v>+51</v>
      </c>
      <c r="L152" t="str">
        <f t="shared" si="9"/>
        <v>+16,3</v>
      </c>
      <c r="N152" s="2">
        <v>10</v>
      </c>
      <c r="O152" s="2">
        <v>51</v>
      </c>
      <c r="P152" s="2">
        <v>16.3</v>
      </c>
    </row>
    <row r="153" spans="1:16" x14ac:dyDescent="0.25">
      <c r="A153" s="1">
        <v>44714</v>
      </c>
      <c r="B153">
        <v>2</v>
      </c>
      <c r="C153">
        <v>12</v>
      </c>
      <c r="D153">
        <v>58.48</v>
      </c>
      <c r="E153" s="2" t="s">
        <v>1</v>
      </c>
      <c r="F153">
        <v>11</v>
      </c>
      <c r="G153">
        <v>15</v>
      </c>
      <c r="H153">
        <v>1.6</v>
      </c>
      <c r="J153" t="str">
        <f t="shared" si="7"/>
        <v>+11</v>
      </c>
      <c r="K153" t="str">
        <f t="shared" si="8"/>
        <v>+15</v>
      </c>
      <c r="L153" t="str">
        <f t="shared" si="9"/>
        <v>+1,6</v>
      </c>
      <c r="N153" s="2">
        <v>11</v>
      </c>
      <c r="O153" s="2">
        <v>15</v>
      </c>
      <c r="P153" s="2">
        <v>1.6</v>
      </c>
    </row>
    <row r="154" spans="1:16" x14ac:dyDescent="0.25">
      <c r="A154" s="1">
        <v>44715</v>
      </c>
      <c r="B154">
        <v>2</v>
      </c>
      <c r="C154">
        <v>17</v>
      </c>
      <c r="D154">
        <v>29.47</v>
      </c>
      <c r="E154" s="2" t="s">
        <v>1</v>
      </c>
      <c r="F154">
        <v>11</v>
      </c>
      <c r="G154">
        <v>38</v>
      </c>
      <c r="H154">
        <v>34.6</v>
      </c>
      <c r="J154" t="str">
        <f t="shared" si="7"/>
        <v>+11</v>
      </c>
      <c r="K154" t="str">
        <f t="shared" si="8"/>
        <v>+38</v>
      </c>
      <c r="L154" t="str">
        <f t="shared" si="9"/>
        <v>+34,6</v>
      </c>
      <c r="N154" s="2">
        <v>11</v>
      </c>
      <c r="O154" s="2">
        <v>38</v>
      </c>
      <c r="P154" s="2">
        <v>34.6</v>
      </c>
    </row>
    <row r="155" spans="1:16" x14ac:dyDescent="0.25">
      <c r="A155" s="1">
        <v>44716</v>
      </c>
      <c r="B155">
        <v>2</v>
      </c>
      <c r="C155">
        <v>22</v>
      </c>
      <c r="D155">
        <v>1.35</v>
      </c>
      <c r="E155" s="2" t="s">
        <v>1</v>
      </c>
      <c r="F155">
        <v>12</v>
      </c>
      <c r="G155">
        <v>1</v>
      </c>
      <c r="H155">
        <v>54.6</v>
      </c>
      <c r="J155" t="str">
        <f t="shared" si="7"/>
        <v>+12</v>
      </c>
      <c r="K155" t="str">
        <f t="shared" si="8"/>
        <v>+1</v>
      </c>
      <c r="L155" t="str">
        <f t="shared" si="9"/>
        <v>+54,6</v>
      </c>
      <c r="N155" s="2">
        <v>12</v>
      </c>
      <c r="O155" s="2">
        <v>1</v>
      </c>
      <c r="P155" s="2">
        <v>54.6</v>
      </c>
    </row>
    <row r="156" spans="1:16" x14ac:dyDescent="0.25">
      <c r="A156" s="1">
        <v>44717</v>
      </c>
      <c r="B156">
        <v>2</v>
      </c>
      <c r="C156">
        <v>26</v>
      </c>
      <c r="D156">
        <v>34.159999999999997</v>
      </c>
      <c r="E156" s="2" t="s">
        <v>1</v>
      </c>
      <c r="F156">
        <v>12</v>
      </c>
      <c r="G156">
        <v>25</v>
      </c>
      <c r="H156">
        <v>0.9</v>
      </c>
      <c r="J156" t="str">
        <f t="shared" si="7"/>
        <v>+12</v>
      </c>
      <c r="K156" t="str">
        <f t="shared" si="8"/>
        <v>+25</v>
      </c>
      <c r="L156" t="str">
        <f t="shared" si="9"/>
        <v>+0,9</v>
      </c>
      <c r="N156" s="2">
        <v>12</v>
      </c>
      <c r="O156" s="2">
        <v>25</v>
      </c>
      <c r="P156" s="2">
        <v>0.9</v>
      </c>
    </row>
    <row r="157" spans="1:16" x14ac:dyDescent="0.25">
      <c r="A157" s="1">
        <v>44718</v>
      </c>
      <c r="B157">
        <v>2</v>
      </c>
      <c r="C157">
        <v>31</v>
      </c>
      <c r="D157">
        <v>7.9</v>
      </c>
      <c r="E157" s="2" t="s">
        <v>1</v>
      </c>
      <c r="F157">
        <v>12</v>
      </c>
      <c r="G157">
        <v>47</v>
      </c>
      <c r="H157">
        <v>52.8</v>
      </c>
      <c r="J157" t="str">
        <f t="shared" si="7"/>
        <v>+12</v>
      </c>
      <c r="K157" t="str">
        <f t="shared" si="8"/>
        <v>+47</v>
      </c>
      <c r="L157" t="str">
        <f t="shared" si="9"/>
        <v>+52,8</v>
      </c>
      <c r="N157" s="2">
        <v>12</v>
      </c>
      <c r="O157" s="2">
        <v>47</v>
      </c>
      <c r="P157" s="2">
        <v>52.8</v>
      </c>
    </row>
    <row r="158" spans="1:16" x14ac:dyDescent="0.25">
      <c r="A158" s="1">
        <v>44719</v>
      </c>
      <c r="B158">
        <v>2</v>
      </c>
      <c r="C158">
        <v>35</v>
      </c>
      <c r="D158">
        <v>42.59</v>
      </c>
      <c r="E158" s="2" t="s">
        <v>1</v>
      </c>
      <c r="F158">
        <v>13</v>
      </c>
      <c r="G158">
        <v>10</v>
      </c>
      <c r="H158">
        <v>29.7</v>
      </c>
      <c r="J158" t="str">
        <f t="shared" si="7"/>
        <v>+13</v>
      </c>
      <c r="K158" t="str">
        <f t="shared" si="8"/>
        <v>+10</v>
      </c>
      <c r="L158" t="str">
        <f t="shared" si="9"/>
        <v>+29,7</v>
      </c>
      <c r="N158" s="2">
        <v>13</v>
      </c>
      <c r="O158" s="2">
        <v>10</v>
      </c>
      <c r="P158" s="2">
        <v>29.7</v>
      </c>
    </row>
    <row r="159" spans="1:16" x14ac:dyDescent="0.25">
      <c r="A159" s="1">
        <v>44720</v>
      </c>
      <c r="B159">
        <v>2</v>
      </c>
      <c r="C159">
        <v>40</v>
      </c>
      <c r="D159">
        <v>18.27</v>
      </c>
      <c r="E159" s="2" t="s">
        <v>1</v>
      </c>
      <c r="F159">
        <v>13</v>
      </c>
      <c r="G159">
        <v>32</v>
      </c>
      <c r="H159">
        <v>50.8</v>
      </c>
      <c r="J159" t="str">
        <f t="shared" si="7"/>
        <v>+13</v>
      </c>
      <c r="K159" t="str">
        <f t="shared" si="8"/>
        <v>+32</v>
      </c>
      <c r="L159" t="str">
        <f t="shared" si="9"/>
        <v>+50,8</v>
      </c>
      <c r="N159" s="2">
        <v>13</v>
      </c>
      <c r="O159" s="2">
        <v>32</v>
      </c>
      <c r="P159" s="2">
        <v>50.8</v>
      </c>
    </row>
    <row r="160" spans="1:16" x14ac:dyDescent="0.25">
      <c r="A160" s="1">
        <v>44721</v>
      </c>
      <c r="B160">
        <v>2</v>
      </c>
      <c r="C160">
        <v>44</v>
      </c>
      <c r="D160">
        <v>54.94</v>
      </c>
      <c r="E160" s="2" t="s">
        <v>1</v>
      </c>
      <c r="F160">
        <v>13</v>
      </c>
      <c r="G160">
        <v>54</v>
      </c>
      <c r="H160">
        <v>55.4</v>
      </c>
      <c r="J160" t="str">
        <f t="shared" si="7"/>
        <v>+13</v>
      </c>
      <c r="K160" t="str">
        <f t="shared" si="8"/>
        <v>+54</v>
      </c>
      <c r="L160" t="str">
        <f t="shared" si="9"/>
        <v>+55,4</v>
      </c>
      <c r="N160" s="2">
        <v>13</v>
      </c>
      <c r="O160" s="2">
        <v>54</v>
      </c>
      <c r="P160" s="2">
        <v>55.4</v>
      </c>
    </row>
    <row r="161" spans="1:16" x14ac:dyDescent="0.25">
      <c r="A161" s="1">
        <v>44722</v>
      </c>
      <c r="B161">
        <v>2</v>
      </c>
      <c r="C161">
        <v>49</v>
      </c>
      <c r="D161">
        <v>32.619999999999997</v>
      </c>
      <c r="E161" s="2" t="s">
        <v>1</v>
      </c>
      <c r="F161">
        <v>14</v>
      </c>
      <c r="G161">
        <v>16</v>
      </c>
      <c r="H161">
        <v>43</v>
      </c>
      <c r="J161" t="str">
        <f t="shared" si="7"/>
        <v>+14</v>
      </c>
      <c r="K161" t="str">
        <f t="shared" si="8"/>
        <v>+16</v>
      </c>
      <c r="L161" t="str">
        <f t="shared" si="9"/>
        <v>+43</v>
      </c>
      <c r="N161" s="2">
        <v>14</v>
      </c>
      <c r="O161" s="2">
        <v>16</v>
      </c>
      <c r="P161" s="2">
        <v>43</v>
      </c>
    </row>
    <row r="162" spans="1:16" x14ac:dyDescent="0.25">
      <c r="A162" s="1">
        <v>44723</v>
      </c>
      <c r="B162">
        <v>2</v>
      </c>
      <c r="C162">
        <v>54</v>
      </c>
      <c r="D162">
        <v>11.34</v>
      </c>
      <c r="E162" s="2" t="s">
        <v>1</v>
      </c>
      <c r="F162">
        <v>14</v>
      </c>
      <c r="G162">
        <v>38</v>
      </c>
      <c r="H162">
        <v>12.7</v>
      </c>
      <c r="J162" t="str">
        <f t="shared" si="7"/>
        <v>+14</v>
      </c>
      <c r="K162" t="str">
        <f t="shared" si="8"/>
        <v>+38</v>
      </c>
      <c r="L162" t="str">
        <f t="shared" si="9"/>
        <v>+12,7</v>
      </c>
      <c r="N162" s="2">
        <v>14</v>
      </c>
      <c r="O162" s="2">
        <v>38</v>
      </c>
      <c r="P162" s="2">
        <v>12.7</v>
      </c>
    </row>
    <row r="163" spans="1:16" x14ac:dyDescent="0.25">
      <c r="A163" s="1">
        <v>44724</v>
      </c>
      <c r="B163">
        <v>2</v>
      </c>
      <c r="C163">
        <v>58</v>
      </c>
      <c r="D163">
        <v>51.11</v>
      </c>
      <c r="E163" s="2" t="s">
        <v>1</v>
      </c>
      <c r="F163">
        <v>14</v>
      </c>
      <c r="G163">
        <v>59</v>
      </c>
      <c r="H163">
        <v>24</v>
      </c>
      <c r="J163" t="str">
        <f t="shared" si="7"/>
        <v>+14</v>
      </c>
      <c r="K163" t="str">
        <f t="shared" si="8"/>
        <v>+59</v>
      </c>
      <c r="L163" t="str">
        <f t="shared" si="9"/>
        <v>+24</v>
      </c>
      <c r="N163" s="2">
        <v>14</v>
      </c>
      <c r="O163" s="2">
        <v>59</v>
      </c>
      <c r="P163" s="2">
        <v>24</v>
      </c>
    </row>
    <row r="164" spans="1:16" x14ac:dyDescent="0.25">
      <c r="A164" s="1">
        <v>44725</v>
      </c>
      <c r="B164">
        <v>3</v>
      </c>
      <c r="C164">
        <v>3</v>
      </c>
      <c r="D164">
        <v>31.94</v>
      </c>
      <c r="E164" s="2" t="s">
        <v>1</v>
      </c>
      <c r="F164">
        <v>15</v>
      </c>
      <c r="G164">
        <v>20</v>
      </c>
      <c r="H164">
        <v>16.100000000000001</v>
      </c>
      <c r="J164" t="str">
        <f t="shared" si="7"/>
        <v>+15</v>
      </c>
      <c r="K164" t="str">
        <f t="shared" si="8"/>
        <v>+20</v>
      </c>
      <c r="L164" t="str">
        <f t="shared" si="9"/>
        <v>+16,1</v>
      </c>
      <c r="N164" s="2">
        <v>15</v>
      </c>
      <c r="O164" s="2">
        <v>20</v>
      </c>
      <c r="P164" s="2">
        <v>16.100000000000001</v>
      </c>
    </row>
    <row r="165" spans="1:16" x14ac:dyDescent="0.25">
      <c r="A165" s="1">
        <v>44726</v>
      </c>
      <c r="B165">
        <v>3</v>
      </c>
      <c r="C165">
        <v>8</v>
      </c>
      <c r="D165">
        <v>13.86</v>
      </c>
      <c r="E165" s="2" t="s">
        <v>1</v>
      </c>
      <c r="F165">
        <v>15</v>
      </c>
      <c r="G165">
        <v>40</v>
      </c>
      <c r="H165">
        <v>48.4</v>
      </c>
      <c r="J165" t="str">
        <f t="shared" si="7"/>
        <v>+15</v>
      </c>
      <c r="K165" t="str">
        <f t="shared" si="8"/>
        <v>+40</v>
      </c>
      <c r="L165" t="str">
        <f t="shared" si="9"/>
        <v>+48,4</v>
      </c>
      <c r="N165" s="2">
        <v>15</v>
      </c>
      <c r="O165" s="2">
        <v>40</v>
      </c>
      <c r="P165" s="2">
        <v>48.4</v>
      </c>
    </row>
    <row r="166" spans="1:16" x14ac:dyDescent="0.25">
      <c r="A166" s="1">
        <v>44727</v>
      </c>
      <c r="B166">
        <v>3</v>
      </c>
      <c r="C166">
        <v>12</v>
      </c>
      <c r="D166">
        <v>56.87</v>
      </c>
      <c r="E166" s="2" t="s">
        <v>1</v>
      </c>
      <c r="F166">
        <v>16</v>
      </c>
      <c r="G166">
        <v>1</v>
      </c>
      <c r="H166">
        <v>0.2</v>
      </c>
      <c r="J166" t="str">
        <f t="shared" si="7"/>
        <v>+16</v>
      </c>
      <c r="K166" t="str">
        <f t="shared" si="8"/>
        <v>+1</v>
      </c>
      <c r="L166" t="str">
        <f t="shared" si="9"/>
        <v>+0,2</v>
      </c>
      <c r="N166" s="2">
        <v>16</v>
      </c>
      <c r="O166" s="2">
        <v>1</v>
      </c>
      <c r="P166" s="2">
        <v>0.2</v>
      </c>
    </row>
    <row r="167" spans="1:16" x14ac:dyDescent="0.25">
      <c r="A167" s="1">
        <v>44728</v>
      </c>
      <c r="B167">
        <v>3</v>
      </c>
      <c r="C167">
        <v>17</v>
      </c>
      <c r="D167">
        <v>41</v>
      </c>
      <c r="E167" s="2" t="s">
        <v>1</v>
      </c>
      <c r="F167">
        <v>16</v>
      </c>
      <c r="G167">
        <v>20</v>
      </c>
      <c r="H167">
        <v>50.9</v>
      </c>
      <c r="J167" t="str">
        <f t="shared" si="7"/>
        <v>+16</v>
      </c>
      <c r="K167" t="str">
        <f t="shared" si="8"/>
        <v>+20</v>
      </c>
      <c r="L167" t="str">
        <f t="shared" si="9"/>
        <v>+50,9</v>
      </c>
      <c r="N167" s="2">
        <v>16</v>
      </c>
      <c r="O167" s="2">
        <v>20</v>
      </c>
      <c r="P167" s="2">
        <v>50.9</v>
      </c>
    </row>
    <row r="168" spans="1:16" x14ac:dyDescent="0.25">
      <c r="A168" s="1">
        <v>44729</v>
      </c>
      <c r="B168">
        <v>3</v>
      </c>
      <c r="C168">
        <v>22</v>
      </c>
      <c r="D168">
        <v>26.25</v>
      </c>
      <c r="E168" s="2" t="s">
        <v>1</v>
      </c>
      <c r="F168">
        <v>16</v>
      </c>
      <c r="G168">
        <v>40</v>
      </c>
      <c r="H168">
        <v>19.7</v>
      </c>
      <c r="J168" t="str">
        <f t="shared" si="7"/>
        <v>+16</v>
      </c>
      <c r="K168" t="str">
        <f t="shared" si="8"/>
        <v>+40</v>
      </c>
      <c r="L168" t="str">
        <f t="shared" si="9"/>
        <v>+19,7</v>
      </c>
      <c r="N168" s="2">
        <v>16</v>
      </c>
      <c r="O168" s="2">
        <v>40</v>
      </c>
      <c r="P168" s="2">
        <v>19.7</v>
      </c>
    </row>
    <row r="169" spans="1:16" x14ac:dyDescent="0.25">
      <c r="A169" s="1">
        <v>44730</v>
      </c>
      <c r="B169">
        <v>3</v>
      </c>
      <c r="C169">
        <v>27</v>
      </c>
      <c r="D169">
        <v>12.62</v>
      </c>
      <c r="E169" s="2" t="s">
        <v>1</v>
      </c>
      <c r="F169">
        <v>16</v>
      </c>
      <c r="G169">
        <v>59</v>
      </c>
      <c r="H169">
        <v>26</v>
      </c>
      <c r="J169" t="str">
        <f t="shared" si="7"/>
        <v>+16</v>
      </c>
      <c r="K169" t="str">
        <f t="shared" si="8"/>
        <v>+59</v>
      </c>
      <c r="L169" t="str">
        <f t="shared" si="9"/>
        <v>+26</v>
      </c>
      <c r="N169" s="2">
        <v>16</v>
      </c>
      <c r="O169" s="2">
        <v>59</v>
      </c>
      <c r="P169" s="2">
        <v>26</v>
      </c>
    </row>
    <row r="170" spans="1:16" x14ac:dyDescent="0.25">
      <c r="A170" s="1">
        <v>44731</v>
      </c>
      <c r="B170">
        <v>3</v>
      </c>
      <c r="C170">
        <v>32</v>
      </c>
      <c r="D170">
        <v>0.14000000000000001</v>
      </c>
      <c r="E170" s="2" t="s">
        <v>1</v>
      </c>
      <c r="F170">
        <v>17</v>
      </c>
      <c r="G170">
        <v>18</v>
      </c>
      <c r="H170">
        <v>9.1</v>
      </c>
      <c r="J170" t="str">
        <f t="shared" si="7"/>
        <v>+17</v>
      </c>
      <c r="K170" t="str">
        <f t="shared" si="8"/>
        <v>+18</v>
      </c>
      <c r="L170" t="str">
        <f t="shared" si="9"/>
        <v>+9,1</v>
      </c>
      <c r="N170" s="2">
        <v>17</v>
      </c>
      <c r="O170" s="2">
        <v>18</v>
      </c>
      <c r="P170" s="2">
        <v>9.1</v>
      </c>
    </row>
    <row r="171" spans="1:16" x14ac:dyDescent="0.25">
      <c r="A171" s="1">
        <v>44732</v>
      </c>
      <c r="B171">
        <v>3</v>
      </c>
      <c r="C171">
        <v>36</v>
      </c>
      <c r="D171">
        <v>48.79</v>
      </c>
      <c r="E171" s="2" t="s">
        <v>1</v>
      </c>
      <c r="F171">
        <v>17</v>
      </c>
      <c r="G171">
        <v>36</v>
      </c>
      <c r="H171">
        <v>28.2</v>
      </c>
      <c r="J171" t="str">
        <f t="shared" si="7"/>
        <v>+17</v>
      </c>
      <c r="K171" t="str">
        <f t="shared" si="8"/>
        <v>+36</v>
      </c>
      <c r="L171" t="str">
        <f t="shared" si="9"/>
        <v>+28,2</v>
      </c>
      <c r="N171" s="2">
        <v>17</v>
      </c>
      <c r="O171" s="2">
        <v>36</v>
      </c>
      <c r="P171" s="2">
        <v>28.2</v>
      </c>
    </row>
    <row r="172" spans="1:16" x14ac:dyDescent="0.25">
      <c r="A172" s="1">
        <v>44733</v>
      </c>
      <c r="B172">
        <v>3</v>
      </c>
      <c r="C172">
        <v>41</v>
      </c>
      <c r="D172">
        <v>38.57</v>
      </c>
      <c r="E172" s="2" t="s">
        <v>1</v>
      </c>
      <c r="F172">
        <v>17</v>
      </c>
      <c r="G172">
        <v>54</v>
      </c>
      <c r="H172">
        <v>22.8</v>
      </c>
      <c r="J172" t="str">
        <f t="shared" si="7"/>
        <v>+17</v>
      </c>
      <c r="K172" t="str">
        <f t="shared" si="8"/>
        <v>+54</v>
      </c>
      <c r="L172" t="str">
        <f t="shared" si="9"/>
        <v>+22,8</v>
      </c>
      <c r="N172" s="2">
        <v>17</v>
      </c>
      <c r="O172" s="2">
        <v>54</v>
      </c>
      <c r="P172" s="2">
        <v>22.8</v>
      </c>
    </row>
    <row r="173" spans="1:16" x14ac:dyDescent="0.25">
      <c r="A173" s="1">
        <v>44734</v>
      </c>
      <c r="B173">
        <v>3</v>
      </c>
      <c r="C173">
        <v>46</v>
      </c>
      <c r="D173">
        <v>29.5</v>
      </c>
      <c r="E173" s="2" t="s">
        <v>1</v>
      </c>
      <c r="F173">
        <v>18</v>
      </c>
      <c r="G173">
        <v>11</v>
      </c>
      <c r="H173">
        <v>52.2</v>
      </c>
      <c r="J173" t="str">
        <f t="shared" si="7"/>
        <v>+18</v>
      </c>
      <c r="K173" t="str">
        <f t="shared" si="8"/>
        <v>+11</v>
      </c>
      <c r="L173" t="str">
        <f t="shared" si="9"/>
        <v>+52,2</v>
      </c>
      <c r="N173" s="2">
        <v>18</v>
      </c>
      <c r="O173" s="2">
        <v>11</v>
      </c>
      <c r="P173" s="2">
        <v>52.2</v>
      </c>
    </row>
    <row r="174" spans="1:16" x14ac:dyDescent="0.25">
      <c r="A174" s="1">
        <v>44735</v>
      </c>
      <c r="B174">
        <v>3</v>
      </c>
      <c r="C174">
        <v>51</v>
      </c>
      <c r="D174">
        <v>21.56</v>
      </c>
      <c r="E174" s="2" t="s">
        <v>1</v>
      </c>
      <c r="F174">
        <v>18</v>
      </c>
      <c r="G174">
        <v>28</v>
      </c>
      <c r="H174">
        <v>55.6</v>
      </c>
      <c r="J174" t="str">
        <f t="shared" si="7"/>
        <v>+18</v>
      </c>
      <c r="K174" t="str">
        <f t="shared" si="8"/>
        <v>+28</v>
      </c>
      <c r="L174" t="str">
        <f t="shared" si="9"/>
        <v>+55,6</v>
      </c>
      <c r="N174" s="2">
        <v>18</v>
      </c>
      <c r="O174" s="2">
        <v>28</v>
      </c>
      <c r="P174" s="2">
        <v>55.6</v>
      </c>
    </row>
    <row r="175" spans="1:16" x14ac:dyDescent="0.25">
      <c r="A175" s="1">
        <v>44736</v>
      </c>
      <c r="B175">
        <v>3</v>
      </c>
      <c r="C175">
        <v>56</v>
      </c>
      <c r="D175">
        <v>14.74</v>
      </c>
      <c r="E175" s="2" t="s">
        <v>1</v>
      </c>
      <c r="F175">
        <v>18</v>
      </c>
      <c r="G175">
        <v>45</v>
      </c>
      <c r="H175">
        <v>32.4</v>
      </c>
      <c r="J175" t="str">
        <f t="shared" si="7"/>
        <v>+18</v>
      </c>
      <c r="K175" t="str">
        <f t="shared" si="8"/>
        <v>+45</v>
      </c>
      <c r="L175" t="str">
        <f t="shared" si="9"/>
        <v>+32,4</v>
      </c>
      <c r="N175" s="2">
        <v>18</v>
      </c>
      <c r="O175" s="2">
        <v>45</v>
      </c>
      <c r="P175" s="2">
        <v>32.4</v>
      </c>
    </row>
    <row r="176" spans="1:16" x14ac:dyDescent="0.25">
      <c r="A176" s="1">
        <v>44737</v>
      </c>
      <c r="B176">
        <v>4</v>
      </c>
      <c r="C176">
        <v>1</v>
      </c>
      <c r="D176">
        <v>9.0399999999999991</v>
      </c>
      <c r="E176" s="2" t="s">
        <v>1</v>
      </c>
      <c r="F176">
        <v>19</v>
      </c>
      <c r="G176">
        <v>1</v>
      </c>
      <c r="H176">
        <v>41.9</v>
      </c>
      <c r="J176" t="str">
        <f t="shared" si="7"/>
        <v>+19</v>
      </c>
      <c r="K176" t="str">
        <f t="shared" si="8"/>
        <v>+1</v>
      </c>
      <c r="L176" t="str">
        <f t="shared" si="9"/>
        <v>+41,9</v>
      </c>
      <c r="N176" s="2">
        <v>19</v>
      </c>
      <c r="O176" s="2">
        <v>1</v>
      </c>
      <c r="P176" s="2">
        <v>41.9</v>
      </c>
    </row>
    <row r="177" spans="1:16" x14ac:dyDescent="0.25">
      <c r="A177" s="1">
        <v>44738</v>
      </c>
      <c r="B177">
        <v>4</v>
      </c>
      <c r="C177">
        <v>6</v>
      </c>
      <c r="D177">
        <v>4.4400000000000004</v>
      </c>
      <c r="E177" s="2" t="s">
        <v>1</v>
      </c>
      <c r="F177">
        <v>19</v>
      </c>
      <c r="G177">
        <v>17</v>
      </c>
      <c r="H177">
        <v>23.4</v>
      </c>
      <c r="J177" t="str">
        <f t="shared" si="7"/>
        <v>+19</v>
      </c>
      <c r="K177" t="str">
        <f t="shared" si="8"/>
        <v>+17</v>
      </c>
      <c r="L177" t="str">
        <f t="shared" si="9"/>
        <v>+23,4</v>
      </c>
      <c r="N177" s="2">
        <v>19</v>
      </c>
      <c r="O177" s="2">
        <v>17</v>
      </c>
      <c r="P177" s="2">
        <v>23.4</v>
      </c>
    </row>
    <row r="178" spans="1:16" x14ac:dyDescent="0.25">
      <c r="A178" s="1">
        <v>44739</v>
      </c>
      <c r="B178">
        <v>4</v>
      </c>
      <c r="C178">
        <v>11</v>
      </c>
      <c r="D178">
        <v>0.95</v>
      </c>
      <c r="E178" s="2" t="s">
        <v>1</v>
      </c>
      <c r="F178">
        <v>19</v>
      </c>
      <c r="G178">
        <v>32</v>
      </c>
      <c r="H178">
        <v>36.4</v>
      </c>
      <c r="J178" t="str">
        <f t="shared" si="7"/>
        <v>+19</v>
      </c>
      <c r="K178" t="str">
        <f t="shared" si="8"/>
        <v>+32</v>
      </c>
      <c r="L178" t="str">
        <f t="shared" si="9"/>
        <v>+36,4</v>
      </c>
      <c r="N178" s="2">
        <v>19</v>
      </c>
      <c r="O178" s="2">
        <v>32</v>
      </c>
      <c r="P178" s="2">
        <v>36.4</v>
      </c>
    </row>
    <row r="179" spans="1:16" x14ac:dyDescent="0.25">
      <c r="A179" s="1">
        <v>44740</v>
      </c>
      <c r="B179">
        <v>4</v>
      </c>
      <c r="C179">
        <v>15</v>
      </c>
      <c r="D179">
        <v>58.53</v>
      </c>
      <c r="E179" s="2" t="s">
        <v>1</v>
      </c>
      <c r="F179">
        <v>19</v>
      </c>
      <c r="G179">
        <v>47</v>
      </c>
      <c r="H179">
        <v>20.2</v>
      </c>
      <c r="J179" t="str">
        <f t="shared" si="7"/>
        <v>+19</v>
      </c>
      <c r="K179" t="str">
        <f t="shared" si="8"/>
        <v>+47</v>
      </c>
      <c r="L179" t="str">
        <f t="shared" si="9"/>
        <v>+20,2</v>
      </c>
      <c r="N179" s="2">
        <v>19</v>
      </c>
      <c r="O179" s="2">
        <v>47</v>
      </c>
      <c r="P179" s="2">
        <v>20.2</v>
      </c>
    </row>
    <row r="180" spans="1:16" x14ac:dyDescent="0.25">
      <c r="A180" s="1">
        <v>44741</v>
      </c>
      <c r="B180">
        <v>4</v>
      </c>
      <c r="C180">
        <v>20</v>
      </c>
      <c r="D180">
        <v>57.18</v>
      </c>
      <c r="E180" s="2" t="s">
        <v>1</v>
      </c>
      <c r="F180">
        <v>20</v>
      </c>
      <c r="G180">
        <v>1</v>
      </c>
      <c r="H180">
        <v>34.200000000000003</v>
      </c>
      <c r="J180" t="str">
        <f t="shared" si="7"/>
        <v>+20</v>
      </c>
      <c r="K180" t="str">
        <f t="shared" si="8"/>
        <v>+1</v>
      </c>
      <c r="L180" t="str">
        <f t="shared" si="9"/>
        <v>+34,2</v>
      </c>
      <c r="N180" s="2">
        <v>20</v>
      </c>
      <c r="O180" s="2">
        <v>1</v>
      </c>
      <c r="P180" s="2">
        <v>34.200000000000003</v>
      </c>
    </row>
    <row r="181" spans="1:16" x14ac:dyDescent="0.25">
      <c r="A181" s="1">
        <v>44742</v>
      </c>
      <c r="B181">
        <v>4</v>
      </c>
      <c r="C181">
        <v>25</v>
      </c>
      <c r="D181">
        <v>56.88</v>
      </c>
      <c r="E181" s="2" t="s">
        <v>1</v>
      </c>
      <c r="F181">
        <v>20</v>
      </c>
      <c r="G181">
        <v>15</v>
      </c>
      <c r="H181">
        <v>17.7</v>
      </c>
      <c r="J181" t="str">
        <f t="shared" si="7"/>
        <v>+20</v>
      </c>
      <c r="K181" t="str">
        <f t="shared" si="8"/>
        <v>+15</v>
      </c>
      <c r="L181" t="str">
        <f t="shared" si="9"/>
        <v>+17,7</v>
      </c>
      <c r="N181" s="2">
        <v>20</v>
      </c>
      <c r="O181" s="2">
        <v>15</v>
      </c>
      <c r="P181" s="2">
        <v>17.7</v>
      </c>
    </row>
    <row r="182" spans="1:16" x14ac:dyDescent="0.25">
      <c r="A182" s="1">
        <v>44743</v>
      </c>
      <c r="B182">
        <v>4</v>
      </c>
      <c r="C182">
        <v>30</v>
      </c>
      <c r="D182">
        <v>57.6</v>
      </c>
      <c r="E182" s="2" t="s">
        <v>1</v>
      </c>
      <c r="F182">
        <v>20</v>
      </c>
      <c r="G182">
        <v>28</v>
      </c>
      <c r="H182">
        <v>30.3</v>
      </c>
      <c r="J182" t="str">
        <f t="shared" si="7"/>
        <v>+20</v>
      </c>
      <c r="K182" t="str">
        <f t="shared" si="8"/>
        <v>+28</v>
      </c>
      <c r="L182" t="str">
        <f t="shared" si="9"/>
        <v>+30,3</v>
      </c>
      <c r="N182" s="2">
        <v>20</v>
      </c>
      <c r="O182" s="2">
        <v>28</v>
      </c>
      <c r="P182" s="2">
        <v>30.3</v>
      </c>
    </row>
    <row r="183" spans="1:16" x14ac:dyDescent="0.25">
      <c r="A183" s="1">
        <v>44744</v>
      </c>
      <c r="B183">
        <v>4</v>
      </c>
      <c r="C183">
        <v>35</v>
      </c>
      <c r="D183">
        <v>59.33</v>
      </c>
      <c r="E183" s="2" t="s">
        <v>1</v>
      </c>
      <c r="F183">
        <v>20</v>
      </c>
      <c r="G183">
        <v>41</v>
      </c>
      <c r="H183">
        <v>11.2</v>
      </c>
      <c r="J183" t="str">
        <f t="shared" si="7"/>
        <v>+20</v>
      </c>
      <c r="K183" t="str">
        <f t="shared" si="8"/>
        <v>+41</v>
      </c>
      <c r="L183" t="str">
        <f t="shared" si="9"/>
        <v>+11,2</v>
      </c>
      <c r="N183" s="2">
        <v>20</v>
      </c>
      <c r="O183" s="2">
        <v>41</v>
      </c>
      <c r="P183" s="2">
        <v>11.2</v>
      </c>
    </row>
    <row r="184" spans="1:16" x14ac:dyDescent="0.25">
      <c r="A184" s="1">
        <v>44745</v>
      </c>
      <c r="B184">
        <v>4</v>
      </c>
      <c r="C184">
        <v>41</v>
      </c>
      <c r="D184">
        <v>2.04</v>
      </c>
      <c r="E184" s="2" t="s">
        <v>1</v>
      </c>
      <c r="F184">
        <v>20</v>
      </c>
      <c r="G184">
        <v>53</v>
      </c>
      <c r="H184">
        <v>19.899999999999999</v>
      </c>
      <c r="J184" t="str">
        <f t="shared" si="7"/>
        <v>+20</v>
      </c>
      <c r="K184" t="str">
        <f t="shared" si="8"/>
        <v>+53</v>
      </c>
      <c r="L184" t="str">
        <f t="shared" si="9"/>
        <v>+19,9</v>
      </c>
      <c r="N184" s="2">
        <v>20</v>
      </c>
      <c r="O184" s="2">
        <v>53</v>
      </c>
      <c r="P184" s="2">
        <v>19.899999999999999</v>
      </c>
    </row>
    <row r="185" spans="1:16" x14ac:dyDescent="0.25">
      <c r="A185" s="1">
        <v>44746</v>
      </c>
      <c r="B185">
        <v>4</v>
      </c>
      <c r="C185">
        <v>46</v>
      </c>
      <c r="D185">
        <v>5.71</v>
      </c>
      <c r="E185" s="2" t="s">
        <v>1</v>
      </c>
      <c r="F185">
        <v>21</v>
      </c>
      <c r="G185">
        <v>4</v>
      </c>
      <c r="H185">
        <v>55.9</v>
      </c>
      <c r="J185" t="str">
        <f t="shared" si="7"/>
        <v>+21</v>
      </c>
      <c r="K185" t="str">
        <f t="shared" si="8"/>
        <v>+4</v>
      </c>
      <c r="L185" t="str">
        <f t="shared" si="9"/>
        <v>+55,9</v>
      </c>
      <c r="N185" s="2">
        <v>21</v>
      </c>
      <c r="O185" s="2">
        <v>4</v>
      </c>
      <c r="P185" s="2">
        <v>55.9</v>
      </c>
    </row>
    <row r="186" spans="1:16" x14ac:dyDescent="0.25">
      <c r="A186" s="1">
        <v>44747</v>
      </c>
      <c r="B186">
        <v>4</v>
      </c>
      <c r="C186">
        <v>51</v>
      </c>
      <c r="D186">
        <v>10.31</v>
      </c>
      <c r="E186" s="2" t="s">
        <v>1</v>
      </c>
      <c r="F186">
        <v>21</v>
      </c>
      <c r="G186">
        <v>15</v>
      </c>
      <c r="H186">
        <v>58.7</v>
      </c>
      <c r="J186" t="str">
        <f t="shared" si="7"/>
        <v>+21</v>
      </c>
      <c r="K186" t="str">
        <f t="shared" si="8"/>
        <v>+15</v>
      </c>
      <c r="L186" t="str">
        <f t="shared" si="9"/>
        <v>+58,7</v>
      </c>
      <c r="N186" s="2">
        <v>21</v>
      </c>
      <c r="O186" s="2">
        <v>15</v>
      </c>
      <c r="P186" s="2">
        <v>58.7</v>
      </c>
    </row>
    <row r="187" spans="1:16" x14ac:dyDescent="0.25">
      <c r="A187" s="1">
        <v>44748</v>
      </c>
      <c r="B187">
        <v>4</v>
      </c>
      <c r="C187">
        <v>56</v>
      </c>
      <c r="D187">
        <v>15.82</v>
      </c>
      <c r="E187" s="2" t="s">
        <v>1</v>
      </c>
      <c r="F187">
        <v>21</v>
      </c>
      <c r="G187">
        <v>26</v>
      </c>
      <c r="H187">
        <v>27.8</v>
      </c>
      <c r="J187" t="str">
        <f t="shared" si="7"/>
        <v>+21</v>
      </c>
      <c r="K187" t="str">
        <f t="shared" si="8"/>
        <v>+26</v>
      </c>
      <c r="L187" t="str">
        <f t="shared" si="9"/>
        <v>+27,8</v>
      </c>
      <c r="N187" s="2">
        <v>21</v>
      </c>
      <c r="O187" s="2">
        <v>26</v>
      </c>
      <c r="P187" s="2">
        <v>27.8</v>
      </c>
    </row>
    <row r="188" spans="1:16" x14ac:dyDescent="0.25">
      <c r="A188" s="1">
        <v>44749</v>
      </c>
      <c r="B188">
        <v>5</v>
      </c>
      <c r="C188">
        <v>1</v>
      </c>
      <c r="D188">
        <v>22.19</v>
      </c>
      <c r="E188" s="2" t="s">
        <v>1</v>
      </c>
      <c r="F188">
        <v>21</v>
      </c>
      <c r="G188">
        <v>36</v>
      </c>
      <c r="H188">
        <v>22.5</v>
      </c>
      <c r="J188" t="str">
        <f t="shared" si="7"/>
        <v>+21</v>
      </c>
      <c r="K188" t="str">
        <f t="shared" si="8"/>
        <v>+36</v>
      </c>
      <c r="L188" t="str">
        <f t="shared" si="9"/>
        <v>+22,5</v>
      </c>
      <c r="N188" s="2">
        <v>21</v>
      </c>
      <c r="O188" s="2">
        <v>36</v>
      </c>
      <c r="P188" s="2">
        <v>22.5</v>
      </c>
    </row>
    <row r="189" spans="1:16" x14ac:dyDescent="0.25">
      <c r="A189" s="1">
        <v>44750</v>
      </c>
      <c r="B189">
        <v>5</v>
      </c>
      <c r="C189">
        <v>6</v>
      </c>
      <c r="D189">
        <v>29.41</v>
      </c>
      <c r="E189" s="2" t="s">
        <v>1</v>
      </c>
      <c r="F189">
        <v>21</v>
      </c>
      <c r="G189">
        <v>45</v>
      </c>
      <c r="H189">
        <v>42.6</v>
      </c>
      <c r="J189" t="str">
        <f t="shared" si="7"/>
        <v>+21</v>
      </c>
      <c r="K189" t="str">
        <f t="shared" si="8"/>
        <v>+45</v>
      </c>
      <c r="L189" t="str">
        <f t="shared" si="9"/>
        <v>+42,6</v>
      </c>
      <c r="N189" s="2">
        <v>21</v>
      </c>
      <c r="O189" s="2">
        <v>45</v>
      </c>
      <c r="P189" s="2">
        <v>42.6</v>
      </c>
    </row>
    <row r="190" spans="1:16" x14ac:dyDescent="0.25">
      <c r="A190" s="1">
        <v>44751</v>
      </c>
      <c r="B190">
        <v>5</v>
      </c>
      <c r="C190">
        <v>11</v>
      </c>
      <c r="D190">
        <v>37.44</v>
      </c>
      <c r="E190" s="2" t="s">
        <v>1</v>
      </c>
      <c r="F190">
        <v>21</v>
      </c>
      <c r="G190">
        <v>54</v>
      </c>
      <c r="H190">
        <v>27.5</v>
      </c>
      <c r="J190" t="str">
        <f t="shared" si="7"/>
        <v>+21</v>
      </c>
      <c r="K190" t="str">
        <f t="shared" si="8"/>
        <v>+54</v>
      </c>
      <c r="L190" t="str">
        <f t="shared" si="9"/>
        <v>+27,5</v>
      </c>
      <c r="N190" s="2">
        <v>21</v>
      </c>
      <c r="O190" s="2">
        <v>54</v>
      </c>
      <c r="P190" s="2">
        <v>27.5</v>
      </c>
    </row>
    <row r="191" spans="1:16" x14ac:dyDescent="0.25">
      <c r="A191" s="1">
        <v>44752</v>
      </c>
      <c r="B191">
        <v>5</v>
      </c>
      <c r="C191">
        <v>16</v>
      </c>
      <c r="D191">
        <v>46.24</v>
      </c>
      <c r="E191" s="2" t="s">
        <v>1</v>
      </c>
      <c r="F191">
        <v>22</v>
      </c>
      <c r="G191">
        <v>2</v>
      </c>
      <c r="H191">
        <v>36.799999999999997</v>
      </c>
      <c r="J191" t="str">
        <f t="shared" si="7"/>
        <v>+22</v>
      </c>
      <c r="K191" t="str">
        <f t="shared" si="8"/>
        <v>+2</v>
      </c>
      <c r="L191" t="str">
        <f t="shared" si="9"/>
        <v>+36,8</v>
      </c>
      <c r="N191" s="2">
        <v>22</v>
      </c>
      <c r="O191" s="2">
        <v>2</v>
      </c>
      <c r="P191" s="2">
        <v>36.799999999999997</v>
      </c>
    </row>
    <row r="192" spans="1:16" x14ac:dyDescent="0.25">
      <c r="A192" s="1">
        <v>44753</v>
      </c>
      <c r="B192">
        <v>5</v>
      </c>
      <c r="C192">
        <v>21</v>
      </c>
      <c r="D192">
        <v>55.78</v>
      </c>
      <c r="E192" s="2" t="s">
        <v>1</v>
      </c>
      <c r="F192">
        <v>22</v>
      </c>
      <c r="G192">
        <v>10</v>
      </c>
      <c r="H192">
        <v>10.1</v>
      </c>
      <c r="J192" t="str">
        <f t="shared" si="7"/>
        <v>+22</v>
      </c>
      <c r="K192" t="str">
        <f t="shared" si="8"/>
        <v>+10</v>
      </c>
      <c r="L192" t="str">
        <f t="shared" si="9"/>
        <v>+10,1</v>
      </c>
      <c r="N192" s="2">
        <v>22</v>
      </c>
      <c r="O192" s="2">
        <v>10</v>
      </c>
      <c r="P192" s="2">
        <v>10.1</v>
      </c>
    </row>
    <row r="193" spans="1:16" x14ac:dyDescent="0.25">
      <c r="A193" s="1">
        <v>44754</v>
      </c>
      <c r="B193">
        <v>5</v>
      </c>
      <c r="C193">
        <v>27</v>
      </c>
      <c r="D193">
        <v>6.02</v>
      </c>
      <c r="E193" s="2" t="s">
        <v>1</v>
      </c>
      <c r="F193">
        <v>22</v>
      </c>
      <c r="G193">
        <v>17</v>
      </c>
      <c r="H193">
        <v>6.9</v>
      </c>
      <c r="J193" t="str">
        <f t="shared" si="7"/>
        <v>+22</v>
      </c>
      <c r="K193" t="str">
        <f t="shared" si="8"/>
        <v>+17</v>
      </c>
      <c r="L193" t="str">
        <f t="shared" si="9"/>
        <v>+6,9</v>
      </c>
      <c r="N193" s="2">
        <v>22</v>
      </c>
      <c r="O193" s="2">
        <v>17</v>
      </c>
      <c r="P193" s="2">
        <v>6.9</v>
      </c>
    </row>
    <row r="194" spans="1:16" x14ac:dyDescent="0.25">
      <c r="A194" s="1">
        <v>44755</v>
      </c>
      <c r="B194">
        <v>5</v>
      </c>
      <c r="C194">
        <v>32</v>
      </c>
      <c r="D194">
        <v>16.93</v>
      </c>
      <c r="E194" s="2" t="s">
        <v>1</v>
      </c>
      <c r="F194">
        <v>22</v>
      </c>
      <c r="G194">
        <v>23</v>
      </c>
      <c r="H194">
        <v>27</v>
      </c>
      <c r="J194" t="str">
        <f t="shared" ref="J194:J257" si="10">$E194&amp;F194</f>
        <v>+22</v>
      </c>
      <c r="K194" t="str">
        <f t="shared" ref="K194:K257" si="11">$E194&amp;G194</f>
        <v>+23</v>
      </c>
      <c r="L194" t="str">
        <f t="shared" ref="L194:L257" si="12">$E194&amp;H194</f>
        <v>+27</v>
      </c>
      <c r="N194" s="2">
        <v>22</v>
      </c>
      <c r="O194" s="2">
        <v>23</v>
      </c>
      <c r="P194" s="2">
        <v>27</v>
      </c>
    </row>
    <row r="195" spans="1:16" x14ac:dyDescent="0.25">
      <c r="A195" s="1">
        <v>44756</v>
      </c>
      <c r="B195">
        <v>5</v>
      </c>
      <c r="C195">
        <v>37</v>
      </c>
      <c r="D195">
        <v>28.47</v>
      </c>
      <c r="E195" s="2" t="s">
        <v>1</v>
      </c>
      <c r="F195">
        <v>22</v>
      </c>
      <c r="G195">
        <v>29</v>
      </c>
      <c r="H195">
        <v>9.9</v>
      </c>
      <c r="J195" t="str">
        <f t="shared" si="10"/>
        <v>+22</v>
      </c>
      <c r="K195" t="str">
        <f t="shared" si="11"/>
        <v>+29</v>
      </c>
      <c r="L195" t="str">
        <f t="shared" si="12"/>
        <v>+9,9</v>
      </c>
      <c r="N195" s="2">
        <v>22</v>
      </c>
      <c r="O195" s="2">
        <v>29</v>
      </c>
      <c r="P195" s="2">
        <v>9.9</v>
      </c>
    </row>
    <row r="196" spans="1:16" x14ac:dyDescent="0.25">
      <c r="A196" s="1">
        <v>44757</v>
      </c>
      <c r="B196">
        <v>5</v>
      </c>
      <c r="C196">
        <v>42</v>
      </c>
      <c r="D196">
        <v>40.6</v>
      </c>
      <c r="E196" s="2" t="s">
        <v>1</v>
      </c>
      <c r="F196">
        <v>22</v>
      </c>
      <c r="G196">
        <v>34</v>
      </c>
      <c r="H196">
        <v>15.4</v>
      </c>
      <c r="J196" t="str">
        <f t="shared" si="10"/>
        <v>+22</v>
      </c>
      <c r="K196" t="str">
        <f t="shared" si="11"/>
        <v>+34</v>
      </c>
      <c r="L196" t="str">
        <f t="shared" si="12"/>
        <v>+15,4</v>
      </c>
      <c r="N196" s="2">
        <v>22</v>
      </c>
      <c r="O196" s="2">
        <v>34</v>
      </c>
      <c r="P196" s="2">
        <v>15.4</v>
      </c>
    </row>
    <row r="197" spans="1:16" x14ac:dyDescent="0.25">
      <c r="A197" s="1">
        <v>44758</v>
      </c>
      <c r="B197">
        <v>5</v>
      </c>
      <c r="C197">
        <v>47</v>
      </c>
      <c r="D197">
        <v>53.28</v>
      </c>
      <c r="E197" s="2" t="s">
        <v>1</v>
      </c>
      <c r="F197">
        <v>22</v>
      </c>
      <c r="G197">
        <v>38</v>
      </c>
      <c r="H197">
        <v>43.1</v>
      </c>
      <c r="J197" t="str">
        <f t="shared" si="10"/>
        <v>+22</v>
      </c>
      <c r="K197" t="str">
        <f t="shared" si="11"/>
        <v>+38</v>
      </c>
      <c r="L197" t="str">
        <f t="shared" si="12"/>
        <v>+43,1</v>
      </c>
      <c r="N197" s="2">
        <v>22</v>
      </c>
      <c r="O197" s="2">
        <v>38</v>
      </c>
      <c r="P197" s="2">
        <v>43.1</v>
      </c>
    </row>
    <row r="198" spans="1:16" x14ac:dyDescent="0.25">
      <c r="A198" s="1">
        <v>44759</v>
      </c>
      <c r="B198">
        <v>5</v>
      </c>
      <c r="C198">
        <v>53</v>
      </c>
      <c r="D198">
        <v>6.46</v>
      </c>
      <c r="E198" s="2" t="s">
        <v>1</v>
      </c>
      <c r="F198">
        <v>22</v>
      </c>
      <c r="G198">
        <v>42</v>
      </c>
      <c r="H198">
        <v>32.700000000000003</v>
      </c>
      <c r="J198" t="str">
        <f t="shared" si="10"/>
        <v>+22</v>
      </c>
      <c r="K198" t="str">
        <f t="shared" si="11"/>
        <v>+42</v>
      </c>
      <c r="L198" t="str">
        <f t="shared" si="12"/>
        <v>+32,7</v>
      </c>
      <c r="N198" s="2">
        <v>22</v>
      </c>
      <c r="O198" s="2">
        <v>42</v>
      </c>
      <c r="P198" s="2">
        <v>32.700000000000003</v>
      </c>
    </row>
    <row r="199" spans="1:16" x14ac:dyDescent="0.25">
      <c r="A199" s="1">
        <v>44760</v>
      </c>
      <c r="B199">
        <v>5</v>
      </c>
      <c r="C199">
        <v>58</v>
      </c>
      <c r="D199">
        <v>20.100000000000001</v>
      </c>
      <c r="E199" s="2" t="s">
        <v>1</v>
      </c>
      <c r="F199">
        <v>22</v>
      </c>
      <c r="G199">
        <v>45</v>
      </c>
      <c r="H199">
        <v>44</v>
      </c>
      <c r="J199" t="str">
        <f t="shared" si="10"/>
        <v>+22</v>
      </c>
      <c r="K199" t="str">
        <f t="shared" si="11"/>
        <v>+45</v>
      </c>
      <c r="L199" t="str">
        <f t="shared" si="12"/>
        <v>+44</v>
      </c>
      <c r="N199" s="2">
        <v>22</v>
      </c>
      <c r="O199" s="2">
        <v>45</v>
      </c>
      <c r="P199" s="2">
        <v>44</v>
      </c>
    </row>
    <row r="200" spans="1:16" x14ac:dyDescent="0.25">
      <c r="A200" s="1">
        <v>44761</v>
      </c>
      <c r="B200">
        <v>6</v>
      </c>
      <c r="C200">
        <v>3</v>
      </c>
      <c r="D200">
        <v>34.14</v>
      </c>
      <c r="E200" s="2" t="s">
        <v>1</v>
      </c>
      <c r="F200">
        <v>22</v>
      </c>
      <c r="G200">
        <v>48</v>
      </c>
      <c r="H200">
        <v>16.7</v>
      </c>
      <c r="J200" t="str">
        <f t="shared" si="10"/>
        <v>+22</v>
      </c>
      <c r="K200" t="str">
        <f t="shared" si="11"/>
        <v>+48</v>
      </c>
      <c r="L200" t="str">
        <f t="shared" si="12"/>
        <v>+16,7</v>
      </c>
      <c r="N200" s="2">
        <v>22</v>
      </c>
      <c r="O200" s="2">
        <v>48</v>
      </c>
      <c r="P200" s="2">
        <v>16.7</v>
      </c>
    </row>
    <row r="201" spans="1:16" x14ac:dyDescent="0.25">
      <c r="A201" s="1">
        <v>44762</v>
      </c>
      <c r="B201">
        <v>6</v>
      </c>
      <c r="C201">
        <v>8</v>
      </c>
      <c r="D201">
        <v>48.55</v>
      </c>
      <c r="E201" s="2" t="s">
        <v>1</v>
      </c>
      <c r="F201">
        <v>22</v>
      </c>
      <c r="G201">
        <v>50</v>
      </c>
      <c r="H201">
        <v>10.5</v>
      </c>
      <c r="J201" t="str">
        <f t="shared" si="10"/>
        <v>+22</v>
      </c>
      <c r="K201" t="str">
        <f t="shared" si="11"/>
        <v>+50</v>
      </c>
      <c r="L201" t="str">
        <f t="shared" si="12"/>
        <v>+10,5</v>
      </c>
      <c r="N201" s="2">
        <v>22</v>
      </c>
      <c r="O201" s="2">
        <v>50</v>
      </c>
      <c r="P201" s="2">
        <v>10.5</v>
      </c>
    </row>
    <row r="202" spans="1:16" x14ac:dyDescent="0.25">
      <c r="A202" s="1">
        <v>44763</v>
      </c>
      <c r="B202">
        <v>6</v>
      </c>
      <c r="C202">
        <v>14</v>
      </c>
      <c r="D202">
        <v>3.26</v>
      </c>
      <c r="E202" s="2" t="s">
        <v>1</v>
      </c>
      <c r="F202">
        <v>22</v>
      </c>
      <c r="G202">
        <v>51</v>
      </c>
      <c r="H202">
        <v>25.4</v>
      </c>
      <c r="J202" t="str">
        <f t="shared" si="10"/>
        <v>+22</v>
      </c>
      <c r="K202" t="str">
        <f t="shared" si="11"/>
        <v>+51</v>
      </c>
      <c r="L202" t="str">
        <f t="shared" si="12"/>
        <v>+25,4</v>
      </c>
      <c r="N202" s="2">
        <v>22</v>
      </c>
      <c r="O202" s="2">
        <v>51</v>
      </c>
      <c r="P202" s="2">
        <v>25.4</v>
      </c>
    </row>
    <row r="203" spans="1:16" x14ac:dyDescent="0.25">
      <c r="A203" s="1">
        <v>44764</v>
      </c>
      <c r="B203">
        <v>6</v>
      </c>
      <c r="C203">
        <v>19</v>
      </c>
      <c r="D203">
        <v>18.22</v>
      </c>
      <c r="E203" s="2" t="s">
        <v>1</v>
      </c>
      <c r="F203">
        <v>22</v>
      </c>
      <c r="G203">
        <v>52</v>
      </c>
      <c r="H203">
        <v>1.2</v>
      </c>
      <c r="J203" t="str">
        <f t="shared" si="10"/>
        <v>+22</v>
      </c>
      <c r="K203" t="str">
        <f t="shared" si="11"/>
        <v>+52</v>
      </c>
      <c r="L203" t="str">
        <f t="shared" si="12"/>
        <v>+1,2</v>
      </c>
      <c r="N203" s="2">
        <v>22</v>
      </c>
      <c r="O203" s="2">
        <v>52</v>
      </c>
      <c r="P203" s="2">
        <v>1.2</v>
      </c>
    </row>
    <row r="204" spans="1:16" x14ac:dyDescent="0.25">
      <c r="A204" s="1">
        <v>44765</v>
      </c>
      <c r="B204">
        <v>6</v>
      </c>
      <c r="C204">
        <v>24</v>
      </c>
      <c r="D204">
        <v>33.39</v>
      </c>
      <c r="E204" s="2" t="s">
        <v>1</v>
      </c>
      <c r="F204">
        <v>22</v>
      </c>
      <c r="G204">
        <v>51</v>
      </c>
      <c r="H204">
        <v>57.6</v>
      </c>
      <c r="J204" t="str">
        <f t="shared" si="10"/>
        <v>+22</v>
      </c>
      <c r="K204" t="str">
        <f t="shared" si="11"/>
        <v>+51</v>
      </c>
      <c r="L204" t="str">
        <f t="shared" si="12"/>
        <v>+57,6</v>
      </c>
      <c r="N204" s="2">
        <v>22</v>
      </c>
      <c r="O204" s="2">
        <v>51</v>
      </c>
      <c r="P204" s="2">
        <v>57.6</v>
      </c>
    </row>
    <row r="205" spans="1:16" x14ac:dyDescent="0.25">
      <c r="A205" s="1">
        <v>44766</v>
      </c>
      <c r="B205">
        <v>6</v>
      </c>
      <c r="C205">
        <v>29</v>
      </c>
      <c r="D205">
        <v>48.71</v>
      </c>
      <c r="E205" s="2" t="s">
        <v>1</v>
      </c>
      <c r="F205">
        <v>22</v>
      </c>
      <c r="G205">
        <v>51</v>
      </c>
      <c r="H205">
        <v>14.6</v>
      </c>
      <c r="J205" t="str">
        <f t="shared" si="10"/>
        <v>+22</v>
      </c>
      <c r="K205" t="str">
        <f t="shared" si="11"/>
        <v>+51</v>
      </c>
      <c r="L205" t="str">
        <f t="shared" si="12"/>
        <v>+14,6</v>
      </c>
      <c r="N205" s="2">
        <v>22</v>
      </c>
      <c r="O205" s="2">
        <v>51</v>
      </c>
      <c r="P205" s="2">
        <v>14.6</v>
      </c>
    </row>
    <row r="206" spans="1:16" x14ac:dyDescent="0.25">
      <c r="A206" s="1">
        <v>44767</v>
      </c>
      <c r="B206">
        <v>6</v>
      </c>
      <c r="C206">
        <v>35</v>
      </c>
      <c r="D206">
        <v>4.12</v>
      </c>
      <c r="E206" s="2" t="s">
        <v>1</v>
      </c>
      <c r="F206">
        <v>22</v>
      </c>
      <c r="G206">
        <v>49</v>
      </c>
      <c r="H206">
        <v>52.2</v>
      </c>
      <c r="J206" t="str">
        <f t="shared" si="10"/>
        <v>+22</v>
      </c>
      <c r="K206" t="str">
        <f t="shared" si="11"/>
        <v>+49</v>
      </c>
      <c r="L206" t="str">
        <f t="shared" si="12"/>
        <v>+52,2</v>
      </c>
      <c r="N206" s="2">
        <v>22</v>
      </c>
      <c r="O206" s="2">
        <v>49</v>
      </c>
      <c r="P206" s="2">
        <v>52.2</v>
      </c>
    </row>
    <row r="207" spans="1:16" x14ac:dyDescent="0.25">
      <c r="A207" s="1">
        <v>44768</v>
      </c>
      <c r="B207">
        <v>6</v>
      </c>
      <c r="C207">
        <v>40</v>
      </c>
      <c r="D207">
        <v>19.57</v>
      </c>
      <c r="E207" s="2" t="s">
        <v>1</v>
      </c>
      <c r="F207">
        <v>22</v>
      </c>
      <c r="G207">
        <v>47</v>
      </c>
      <c r="H207">
        <v>50.2</v>
      </c>
      <c r="J207" t="str">
        <f t="shared" si="10"/>
        <v>+22</v>
      </c>
      <c r="K207" t="str">
        <f t="shared" si="11"/>
        <v>+47</v>
      </c>
      <c r="L207" t="str">
        <f t="shared" si="12"/>
        <v>+50,2</v>
      </c>
      <c r="N207" s="2">
        <v>22</v>
      </c>
      <c r="O207" s="2">
        <v>47</v>
      </c>
      <c r="P207" s="2">
        <v>50.2</v>
      </c>
    </row>
    <row r="208" spans="1:16" x14ac:dyDescent="0.25">
      <c r="A208" s="1">
        <v>44769</v>
      </c>
      <c r="B208">
        <v>6</v>
      </c>
      <c r="C208">
        <v>45</v>
      </c>
      <c r="D208">
        <v>35.01</v>
      </c>
      <c r="E208" s="2" t="s">
        <v>1</v>
      </c>
      <c r="F208">
        <v>22</v>
      </c>
      <c r="G208">
        <v>45</v>
      </c>
      <c r="H208">
        <v>8.6999999999999993</v>
      </c>
      <c r="J208" t="str">
        <f t="shared" si="10"/>
        <v>+22</v>
      </c>
      <c r="K208" t="str">
        <f t="shared" si="11"/>
        <v>+45</v>
      </c>
      <c r="L208" t="str">
        <f t="shared" si="12"/>
        <v>+8,7</v>
      </c>
      <c r="N208" s="2">
        <v>22</v>
      </c>
      <c r="O208" s="2">
        <v>45</v>
      </c>
      <c r="P208" s="2">
        <v>8.6999999999999993</v>
      </c>
    </row>
    <row r="209" spans="1:16" x14ac:dyDescent="0.25">
      <c r="A209" s="1">
        <v>44770</v>
      </c>
      <c r="B209">
        <v>6</v>
      </c>
      <c r="C209">
        <v>50</v>
      </c>
      <c r="D209">
        <v>50.38</v>
      </c>
      <c r="E209" s="2" t="s">
        <v>1</v>
      </c>
      <c r="F209">
        <v>22</v>
      </c>
      <c r="G209">
        <v>41</v>
      </c>
      <c r="H209">
        <v>47.7</v>
      </c>
      <c r="J209" t="str">
        <f t="shared" si="10"/>
        <v>+22</v>
      </c>
      <c r="K209" t="str">
        <f t="shared" si="11"/>
        <v>+41</v>
      </c>
      <c r="L209" t="str">
        <f t="shared" si="12"/>
        <v>+47,7</v>
      </c>
      <c r="N209" s="2">
        <v>22</v>
      </c>
      <c r="O209" s="2">
        <v>41</v>
      </c>
      <c r="P209" s="2">
        <v>47.7</v>
      </c>
    </row>
    <row r="210" spans="1:16" x14ac:dyDescent="0.25">
      <c r="A210" s="1">
        <v>44771</v>
      </c>
      <c r="B210">
        <v>6</v>
      </c>
      <c r="C210">
        <v>56</v>
      </c>
      <c r="D210">
        <v>5.64</v>
      </c>
      <c r="E210" s="2" t="s">
        <v>1</v>
      </c>
      <c r="F210">
        <v>22</v>
      </c>
      <c r="G210">
        <v>37</v>
      </c>
      <c r="H210">
        <v>47.2</v>
      </c>
      <c r="J210" t="str">
        <f t="shared" si="10"/>
        <v>+22</v>
      </c>
      <c r="K210" t="str">
        <f t="shared" si="11"/>
        <v>+37</v>
      </c>
      <c r="L210" t="str">
        <f t="shared" si="12"/>
        <v>+47,2</v>
      </c>
      <c r="N210" s="2">
        <v>22</v>
      </c>
      <c r="O210" s="2">
        <v>37</v>
      </c>
      <c r="P210" s="2">
        <v>47.2</v>
      </c>
    </row>
    <row r="211" spans="1:16" x14ac:dyDescent="0.25">
      <c r="A211" s="1">
        <v>44772</v>
      </c>
      <c r="B211">
        <v>7</v>
      </c>
      <c r="C211">
        <v>1</v>
      </c>
      <c r="D211">
        <v>20.72</v>
      </c>
      <c r="E211" s="2" t="s">
        <v>1</v>
      </c>
      <c r="F211">
        <v>22</v>
      </c>
      <c r="G211">
        <v>33</v>
      </c>
      <c r="H211">
        <v>7.3</v>
      </c>
      <c r="J211" t="str">
        <f t="shared" si="10"/>
        <v>+22</v>
      </c>
      <c r="K211" t="str">
        <f t="shared" si="11"/>
        <v>+33</v>
      </c>
      <c r="L211" t="str">
        <f t="shared" si="12"/>
        <v>+7,3</v>
      </c>
      <c r="N211" s="2">
        <v>22</v>
      </c>
      <c r="O211" s="2">
        <v>33</v>
      </c>
      <c r="P211" s="2">
        <v>7.3</v>
      </c>
    </row>
    <row r="212" spans="1:16" x14ac:dyDescent="0.25">
      <c r="A212" s="1">
        <v>44773</v>
      </c>
      <c r="B212">
        <v>7</v>
      </c>
      <c r="C212">
        <v>6</v>
      </c>
      <c r="D212">
        <v>35.58</v>
      </c>
      <c r="E212" s="2" t="s">
        <v>1</v>
      </c>
      <c r="F212">
        <v>22</v>
      </c>
      <c r="G212">
        <v>27</v>
      </c>
      <c r="H212">
        <v>48.1</v>
      </c>
      <c r="J212" t="str">
        <f t="shared" si="10"/>
        <v>+22</v>
      </c>
      <c r="K212" t="str">
        <f t="shared" si="11"/>
        <v>+27</v>
      </c>
      <c r="L212" t="str">
        <f t="shared" si="12"/>
        <v>+48,1</v>
      </c>
      <c r="N212" s="2">
        <v>22</v>
      </c>
      <c r="O212" s="2">
        <v>27</v>
      </c>
      <c r="P212" s="2">
        <v>48.1</v>
      </c>
    </row>
    <row r="213" spans="1:16" x14ac:dyDescent="0.25">
      <c r="A213" s="1">
        <v>44774</v>
      </c>
      <c r="B213">
        <v>7</v>
      </c>
      <c r="C213">
        <v>11</v>
      </c>
      <c r="D213">
        <v>50.16</v>
      </c>
      <c r="E213" s="2" t="s">
        <v>1</v>
      </c>
      <c r="F213">
        <v>22</v>
      </c>
      <c r="G213">
        <v>21</v>
      </c>
      <c r="H213">
        <v>49.7</v>
      </c>
      <c r="J213" t="str">
        <f t="shared" si="10"/>
        <v>+22</v>
      </c>
      <c r="K213" t="str">
        <f t="shared" si="11"/>
        <v>+21</v>
      </c>
      <c r="L213" t="str">
        <f t="shared" si="12"/>
        <v>+49,7</v>
      </c>
      <c r="N213" s="2">
        <v>22</v>
      </c>
      <c r="O213" s="2">
        <v>21</v>
      </c>
      <c r="P213" s="2">
        <v>49.7</v>
      </c>
    </row>
    <row r="214" spans="1:16" x14ac:dyDescent="0.25">
      <c r="A214" s="1">
        <v>44775</v>
      </c>
      <c r="B214">
        <v>7</v>
      </c>
      <c r="C214">
        <v>17</v>
      </c>
      <c r="D214">
        <v>4.42</v>
      </c>
      <c r="E214" s="2" t="s">
        <v>1</v>
      </c>
      <c r="F214">
        <v>22</v>
      </c>
      <c r="G214">
        <v>15</v>
      </c>
      <c r="H214">
        <v>12.3</v>
      </c>
      <c r="J214" t="str">
        <f t="shared" si="10"/>
        <v>+22</v>
      </c>
      <c r="K214" t="str">
        <f t="shared" si="11"/>
        <v>+15</v>
      </c>
      <c r="L214" t="str">
        <f t="shared" si="12"/>
        <v>+12,3</v>
      </c>
      <c r="N214" s="2">
        <v>22</v>
      </c>
      <c r="O214" s="2">
        <v>15</v>
      </c>
      <c r="P214" s="2">
        <v>12.3</v>
      </c>
    </row>
    <row r="215" spans="1:16" x14ac:dyDescent="0.25">
      <c r="A215" s="1">
        <v>44776</v>
      </c>
      <c r="B215">
        <v>7</v>
      </c>
      <c r="C215">
        <v>22</v>
      </c>
      <c r="D215">
        <v>18.309999999999999</v>
      </c>
      <c r="E215" s="2" t="s">
        <v>1</v>
      </c>
      <c r="F215">
        <v>22</v>
      </c>
      <c r="G215">
        <v>7</v>
      </c>
      <c r="H215">
        <v>56</v>
      </c>
      <c r="J215" t="str">
        <f t="shared" si="10"/>
        <v>+22</v>
      </c>
      <c r="K215" t="str">
        <f t="shared" si="11"/>
        <v>+7</v>
      </c>
      <c r="L215" t="str">
        <f t="shared" si="12"/>
        <v>+56</v>
      </c>
      <c r="N215" s="2">
        <v>22</v>
      </c>
      <c r="O215" s="2">
        <v>7</v>
      </c>
      <c r="P215" s="2">
        <v>56</v>
      </c>
    </row>
    <row r="216" spans="1:16" x14ac:dyDescent="0.25">
      <c r="A216" s="1">
        <v>44777</v>
      </c>
      <c r="B216">
        <v>7</v>
      </c>
      <c r="C216">
        <v>27</v>
      </c>
      <c r="D216">
        <v>31.78</v>
      </c>
      <c r="E216" s="2" t="s">
        <v>1</v>
      </c>
      <c r="F216">
        <v>22</v>
      </c>
      <c r="G216">
        <v>0</v>
      </c>
      <c r="H216">
        <v>1.2</v>
      </c>
      <c r="J216" t="str">
        <f t="shared" si="10"/>
        <v>+22</v>
      </c>
      <c r="K216" t="str">
        <f t="shared" si="11"/>
        <v>+0</v>
      </c>
      <c r="L216" t="str">
        <f t="shared" si="12"/>
        <v>+1,2</v>
      </c>
      <c r="N216" s="2">
        <v>22</v>
      </c>
      <c r="O216" s="2">
        <v>0</v>
      </c>
      <c r="P216" s="2">
        <v>1.2</v>
      </c>
    </row>
    <row r="217" spans="1:16" x14ac:dyDescent="0.25">
      <c r="A217" s="1">
        <v>44778</v>
      </c>
      <c r="B217">
        <v>7</v>
      </c>
      <c r="C217">
        <v>32</v>
      </c>
      <c r="D217">
        <v>44.78</v>
      </c>
      <c r="E217" s="2" t="s">
        <v>1</v>
      </c>
      <c r="F217">
        <v>21</v>
      </c>
      <c r="G217">
        <v>51</v>
      </c>
      <c r="H217">
        <v>27.9</v>
      </c>
      <c r="J217" t="str">
        <f t="shared" si="10"/>
        <v>+21</v>
      </c>
      <c r="K217" t="str">
        <f t="shared" si="11"/>
        <v>+51</v>
      </c>
      <c r="L217" t="str">
        <f t="shared" si="12"/>
        <v>+27,9</v>
      </c>
      <c r="N217" s="2">
        <v>21</v>
      </c>
      <c r="O217" s="2">
        <v>51</v>
      </c>
      <c r="P217" s="2">
        <v>27.9</v>
      </c>
    </row>
    <row r="218" spans="1:16" x14ac:dyDescent="0.25">
      <c r="A218" s="1">
        <v>44779</v>
      </c>
      <c r="B218">
        <v>7</v>
      </c>
      <c r="C218">
        <v>37</v>
      </c>
      <c r="D218">
        <v>57.28</v>
      </c>
      <c r="E218" s="2" t="s">
        <v>1</v>
      </c>
      <c r="F218">
        <v>21</v>
      </c>
      <c r="G218">
        <v>42</v>
      </c>
      <c r="H218">
        <v>16.600000000000001</v>
      </c>
      <c r="J218" t="str">
        <f t="shared" si="10"/>
        <v>+21</v>
      </c>
      <c r="K218" t="str">
        <f t="shared" si="11"/>
        <v>+42</v>
      </c>
      <c r="L218" t="str">
        <f t="shared" si="12"/>
        <v>+16,6</v>
      </c>
      <c r="N218" s="2">
        <v>21</v>
      </c>
      <c r="O218" s="2">
        <v>42</v>
      </c>
      <c r="P218" s="2">
        <v>16.600000000000001</v>
      </c>
    </row>
    <row r="219" spans="1:16" x14ac:dyDescent="0.25">
      <c r="A219" s="1">
        <v>44780</v>
      </c>
      <c r="B219">
        <v>7</v>
      </c>
      <c r="C219">
        <v>43</v>
      </c>
      <c r="D219">
        <v>9.2200000000000006</v>
      </c>
      <c r="E219" s="2" t="s">
        <v>1</v>
      </c>
      <c r="F219">
        <v>21</v>
      </c>
      <c r="G219">
        <v>32</v>
      </c>
      <c r="H219">
        <v>27.4</v>
      </c>
      <c r="J219" t="str">
        <f t="shared" si="10"/>
        <v>+21</v>
      </c>
      <c r="K219" t="str">
        <f t="shared" si="11"/>
        <v>+32</v>
      </c>
      <c r="L219" t="str">
        <f t="shared" si="12"/>
        <v>+27,4</v>
      </c>
      <c r="N219" s="2">
        <v>21</v>
      </c>
      <c r="O219" s="2">
        <v>32</v>
      </c>
      <c r="P219" s="2">
        <v>27.4</v>
      </c>
    </row>
    <row r="220" spans="1:16" x14ac:dyDescent="0.25">
      <c r="A220" s="1">
        <v>44781</v>
      </c>
      <c r="B220">
        <v>7</v>
      </c>
      <c r="C220">
        <v>48</v>
      </c>
      <c r="D220">
        <v>20.59</v>
      </c>
      <c r="E220" s="2" t="s">
        <v>1</v>
      </c>
      <c r="F220">
        <v>21</v>
      </c>
      <c r="G220">
        <v>22</v>
      </c>
      <c r="H220">
        <v>0.7</v>
      </c>
      <c r="J220" t="str">
        <f t="shared" si="10"/>
        <v>+21</v>
      </c>
      <c r="K220" t="str">
        <f t="shared" si="11"/>
        <v>+22</v>
      </c>
      <c r="L220" t="str">
        <f t="shared" si="12"/>
        <v>+0,7</v>
      </c>
      <c r="N220" s="2">
        <v>21</v>
      </c>
      <c r="O220" s="2">
        <v>22</v>
      </c>
      <c r="P220" s="2">
        <v>0.7</v>
      </c>
    </row>
    <row r="221" spans="1:16" x14ac:dyDescent="0.25">
      <c r="A221" s="1">
        <v>44782</v>
      </c>
      <c r="B221">
        <v>7</v>
      </c>
      <c r="C221">
        <v>53</v>
      </c>
      <c r="D221">
        <v>31.33</v>
      </c>
      <c r="E221" s="2" t="s">
        <v>1</v>
      </c>
      <c r="F221">
        <v>21</v>
      </c>
      <c r="G221">
        <v>10</v>
      </c>
      <c r="H221">
        <v>56.9</v>
      </c>
      <c r="J221" t="str">
        <f t="shared" si="10"/>
        <v>+21</v>
      </c>
      <c r="K221" t="str">
        <f t="shared" si="11"/>
        <v>+10</v>
      </c>
      <c r="L221" t="str">
        <f t="shared" si="12"/>
        <v>+56,9</v>
      </c>
      <c r="N221" s="2">
        <v>21</v>
      </c>
      <c r="O221" s="2">
        <v>10</v>
      </c>
      <c r="P221" s="2">
        <v>56.9</v>
      </c>
    </row>
    <row r="222" spans="1:16" x14ac:dyDescent="0.25">
      <c r="A222" s="1">
        <v>44783</v>
      </c>
      <c r="B222">
        <v>7</v>
      </c>
      <c r="C222">
        <v>58</v>
      </c>
      <c r="D222">
        <v>41.41</v>
      </c>
      <c r="E222" s="2" t="s">
        <v>1</v>
      </c>
      <c r="F222">
        <v>20</v>
      </c>
      <c r="G222">
        <v>59</v>
      </c>
      <c r="H222">
        <v>16.2</v>
      </c>
      <c r="J222" t="str">
        <f t="shared" si="10"/>
        <v>+20</v>
      </c>
      <c r="K222" t="str">
        <f t="shared" si="11"/>
        <v>+59</v>
      </c>
      <c r="L222" t="str">
        <f t="shared" si="12"/>
        <v>+16,2</v>
      </c>
      <c r="N222" s="2">
        <v>20</v>
      </c>
      <c r="O222" s="2">
        <v>59</v>
      </c>
      <c r="P222" s="2">
        <v>16.2</v>
      </c>
    </row>
    <row r="223" spans="1:16" x14ac:dyDescent="0.25">
      <c r="A223" s="1">
        <v>44784</v>
      </c>
      <c r="B223">
        <v>8</v>
      </c>
      <c r="C223">
        <v>3</v>
      </c>
      <c r="D223">
        <v>50.81</v>
      </c>
      <c r="E223" s="2" t="s">
        <v>1</v>
      </c>
      <c r="F223">
        <v>20</v>
      </c>
      <c r="G223">
        <v>46</v>
      </c>
      <c r="H223">
        <v>59</v>
      </c>
      <c r="J223" t="str">
        <f t="shared" si="10"/>
        <v>+20</v>
      </c>
      <c r="K223" t="str">
        <f t="shared" si="11"/>
        <v>+46</v>
      </c>
      <c r="L223" t="str">
        <f t="shared" si="12"/>
        <v>+59</v>
      </c>
      <c r="N223" s="2">
        <v>20</v>
      </c>
      <c r="O223" s="2">
        <v>46</v>
      </c>
      <c r="P223" s="2">
        <v>59</v>
      </c>
    </row>
    <row r="224" spans="1:16" x14ac:dyDescent="0.25">
      <c r="A224" s="1">
        <v>44785</v>
      </c>
      <c r="B224">
        <v>8</v>
      </c>
      <c r="C224">
        <v>8</v>
      </c>
      <c r="D224">
        <v>59.49</v>
      </c>
      <c r="E224" s="2" t="s">
        <v>1</v>
      </c>
      <c r="F224">
        <v>20</v>
      </c>
      <c r="G224">
        <v>34</v>
      </c>
      <c r="H224">
        <v>5.8</v>
      </c>
      <c r="J224" t="str">
        <f t="shared" si="10"/>
        <v>+20</v>
      </c>
      <c r="K224" t="str">
        <f t="shared" si="11"/>
        <v>+34</v>
      </c>
      <c r="L224" t="str">
        <f t="shared" si="12"/>
        <v>+5,8</v>
      </c>
      <c r="N224" s="2">
        <v>20</v>
      </c>
      <c r="O224" s="2">
        <v>34</v>
      </c>
      <c r="P224" s="2">
        <v>5.8</v>
      </c>
    </row>
    <row r="225" spans="1:16" x14ac:dyDescent="0.25">
      <c r="A225" s="1">
        <v>44786</v>
      </c>
      <c r="B225">
        <v>8</v>
      </c>
      <c r="C225">
        <v>14</v>
      </c>
      <c r="D225">
        <v>7.42</v>
      </c>
      <c r="E225" s="2" t="s">
        <v>1</v>
      </c>
      <c r="F225">
        <v>20</v>
      </c>
      <c r="G225">
        <v>20</v>
      </c>
      <c r="H225">
        <v>36.9</v>
      </c>
      <c r="J225" t="str">
        <f t="shared" si="10"/>
        <v>+20</v>
      </c>
      <c r="K225" t="str">
        <f t="shared" si="11"/>
        <v>+20</v>
      </c>
      <c r="L225" t="str">
        <f t="shared" si="12"/>
        <v>+36,9</v>
      </c>
      <c r="N225" s="2">
        <v>20</v>
      </c>
      <c r="O225" s="2">
        <v>20</v>
      </c>
      <c r="P225" s="2">
        <v>36.9</v>
      </c>
    </row>
    <row r="226" spans="1:16" x14ac:dyDescent="0.25">
      <c r="A226" s="1">
        <v>44787</v>
      </c>
      <c r="B226">
        <v>8</v>
      </c>
      <c r="C226">
        <v>19</v>
      </c>
      <c r="D226">
        <v>14.59</v>
      </c>
      <c r="E226" s="2" t="s">
        <v>1</v>
      </c>
      <c r="F226">
        <v>20</v>
      </c>
      <c r="G226">
        <v>6</v>
      </c>
      <c r="H226">
        <v>32.799999999999997</v>
      </c>
      <c r="J226" t="str">
        <f t="shared" si="10"/>
        <v>+20</v>
      </c>
      <c r="K226" t="str">
        <f t="shared" si="11"/>
        <v>+6</v>
      </c>
      <c r="L226" t="str">
        <f t="shared" si="12"/>
        <v>+32,8</v>
      </c>
      <c r="N226" s="2">
        <v>20</v>
      </c>
      <c r="O226" s="2">
        <v>6</v>
      </c>
      <c r="P226" s="2">
        <v>32.799999999999997</v>
      </c>
    </row>
    <row r="227" spans="1:16" x14ac:dyDescent="0.25">
      <c r="A227" s="1">
        <v>44788</v>
      </c>
      <c r="B227">
        <v>8</v>
      </c>
      <c r="C227">
        <v>24</v>
      </c>
      <c r="D227">
        <v>20.96</v>
      </c>
      <c r="E227" s="2" t="s">
        <v>1</v>
      </c>
      <c r="F227">
        <v>19</v>
      </c>
      <c r="G227">
        <v>51</v>
      </c>
      <c r="H227">
        <v>53.9</v>
      </c>
      <c r="J227" t="str">
        <f t="shared" si="10"/>
        <v>+19</v>
      </c>
      <c r="K227" t="str">
        <f t="shared" si="11"/>
        <v>+51</v>
      </c>
      <c r="L227" t="str">
        <f t="shared" si="12"/>
        <v>+53,9</v>
      </c>
      <c r="N227" s="2">
        <v>19</v>
      </c>
      <c r="O227" s="2">
        <v>51</v>
      </c>
      <c r="P227" s="2">
        <v>53.9</v>
      </c>
    </row>
    <row r="228" spans="1:16" x14ac:dyDescent="0.25">
      <c r="A228" s="1">
        <v>44789</v>
      </c>
      <c r="B228">
        <v>8</v>
      </c>
      <c r="C228">
        <v>29</v>
      </c>
      <c r="D228">
        <v>26.51</v>
      </c>
      <c r="E228" s="2" t="s">
        <v>1</v>
      </c>
      <c r="F228">
        <v>19</v>
      </c>
      <c r="G228">
        <v>36</v>
      </c>
      <c r="H228">
        <v>40.700000000000003</v>
      </c>
      <c r="J228" t="str">
        <f t="shared" si="10"/>
        <v>+19</v>
      </c>
      <c r="K228" t="str">
        <f t="shared" si="11"/>
        <v>+36</v>
      </c>
      <c r="L228" t="str">
        <f t="shared" si="12"/>
        <v>+40,7</v>
      </c>
      <c r="N228" s="2">
        <v>19</v>
      </c>
      <c r="O228" s="2">
        <v>36</v>
      </c>
      <c r="P228" s="2">
        <v>40.700000000000003</v>
      </c>
    </row>
    <row r="229" spans="1:16" x14ac:dyDescent="0.25">
      <c r="A229" s="1">
        <v>44790</v>
      </c>
      <c r="B229">
        <v>8</v>
      </c>
      <c r="C229">
        <v>34</v>
      </c>
      <c r="D229">
        <v>31.22</v>
      </c>
      <c r="E229" s="2" t="s">
        <v>1</v>
      </c>
      <c r="F229">
        <v>19</v>
      </c>
      <c r="G229">
        <v>20</v>
      </c>
      <c r="H229">
        <v>53.6</v>
      </c>
      <c r="J229" t="str">
        <f t="shared" si="10"/>
        <v>+19</v>
      </c>
      <c r="K229" t="str">
        <f t="shared" si="11"/>
        <v>+20</v>
      </c>
      <c r="L229" t="str">
        <f t="shared" si="12"/>
        <v>+53,6</v>
      </c>
      <c r="N229" s="2">
        <v>19</v>
      </c>
      <c r="O229" s="2">
        <v>20</v>
      </c>
      <c r="P229" s="2">
        <v>53.6</v>
      </c>
    </row>
    <row r="230" spans="1:16" x14ac:dyDescent="0.25">
      <c r="A230" s="1">
        <v>44791</v>
      </c>
      <c r="B230">
        <v>8</v>
      </c>
      <c r="C230">
        <v>39</v>
      </c>
      <c r="D230">
        <v>35.07</v>
      </c>
      <c r="E230" s="2" t="s">
        <v>1</v>
      </c>
      <c r="F230">
        <v>19</v>
      </c>
      <c r="G230">
        <v>4</v>
      </c>
      <c r="H230">
        <v>33.200000000000003</v>
      </c>
      <c r="J230" t="str">
        <f t="shared" si="10"/>
        <v>+19</v>
      </c>
      <c r="K230" t="str">
        <f t="shared" si="11"/>
        <v>+4</v>
      </c>
      <c r="L230" t="str">
        <f t="shared" si="12"/>
        <v>+33,2</v>
      </c>
      <c r="N230" s="2">
        <v>19</v>
      </c>
      <c r="O230" s="2">
        <v>4</v>
      </c>
      <c r="P230" s="2">
        <v>33.200000000000003</v>
      </c>
    </row>
    <row r="231" spans="1:16" x14ac:dyDescent="0.25">
      <c r="A231" s="1">
        <v>44792</v>
      </c>
      <c r="B231">
        <v>8</v>
      </c>
      <c r="C231">
        <v>44</v>
      </c>
      <c r="D231">
        <v>38.04</v>
      </c>
      <c r="E231" s="2" t="s">
        <v>1</v>
      </c>
      <c r="F231">
        <v>18</v>
      </c>
      <c r="G231">
        <v>47</v>
      </c>
      <c r="H231">
        <v>40</v>
      </c>
      <c r="J231" t="str">
        <f t="shared" si="10"/>
        <v>+18</v>
      </c>
      <c r="K231" t="str">
        <f t="shared" si="11"/>
        <v>+47</v>
      </c>
      <c r="L231" t="str">
        <f t="shared" si="12"/>
        <v>+40</v>
      </c>
      <c r="N231" s="2">
        <v>18</v>
      </c>
      <c r="O231" s="2">
        <v>47</v>
      </c>
      <c r="P231" s="2">
        <v>40</v>
      </c>
    </row>
    <row r="232" spans="1:16" x14ac:dyDescent="0.25">
      <c r="A232" s="1">
        <v>44793</v>
      </c>
      <c r="B232">
        <v>8</v>
      </c>
      <c r="C232">
        <v>49</v>
      </c>
      <c r="D232">
        <v>40.119999999999997</v>
      </c>
      <c r="E232" s="2" t="s">
        <v>1</v>
      </c>
      <c r="F232">
        <v>18</v>
      </c>
      <c r="G232">
        <v>30</v>
      </c>
      <c r="H232">
        <v>14.5</v>
      </c>
      <c r="J232" t="str">
        <f t="shared" si="10"/>
        <v>+18</v>
      </c>
      <c r="K232" t="str">
        <f t="shared" si="11"/>
        <v>+30</v>
      </c>
      <c r="L232" t="str">
        <f t="shared" si="12"/>
        <v>+14,5</v>
      </c>
      <c r="N232" s="2">
        <v>18</v>
      </c>
      <c r="O232" s="2">
        <v>30</v>
      </c>
      <c r="P232" s="2">
        <v>14.5</v>
      </c>
    </row>
    <row r="233" spans="1:16" x14ac:dyDescent="0.25">
      <c r="A233" s="1">
        <v>44794</v>
      </c>
      <c r="B233">
        <v>8</v>
      </c>
      <c r="C233">
        <v>54</v>
      </c>
      <c r="D233">
        <v>41.28</v>
      </c>
      <c r="E233" s="2" t="s">
        <v>1</v>
      </c>
      <c r="F233">
        <v>18</v>
      </c>
      <c r="G233">
        <v>12</v>
      </c>
      <c r="H233">
        <v>17.2</v>
      </c>
      <c r="J233" t="str">
        <f t="shared" si="10"/>
        <v>+18</v>
      </c>
      <c r="K233" t="str">
        <f t="shared" si="11"/>
        <v>+12</v>
      </c>
      <c r="L233" t="str">
        <f t="shared" si="12"/>
        <v>+17,2</v>
      </c>
      <c r="N233" s="2">
        <v>18</v>
      </c>
      <c r="O233" s="2">
        <v>12</v>
      </c>
      <c r="P233" s="2">
        <v>17.2</v>
      </c>
    </row>
    <row r="234" spans="1:16" x14ac:dyDescent="0.25">
      <c r="A234" s="1">
        <v>44795</v>
      </c>
      <c r="B234">
        <v>8</v>
      </c>
      <c r="C234">
        <v>59</v>
      </c>
      <c r="D234">
        <v>41.53</v>
      </c>
      <c r="E234" s="2" t="s">
        <v>1</v>
      </c>
      <c r="F234">
        <v>17</v>
      </c>
      <c r="G234">
        <v>53</v>
      </c>
      <c r="H234">
        <v>48.8</v>
      </c>
      <c r="J234" t="str">
        <f t="shared" si="10"/>
        <v>+17</v>
      </c>
      <c r="K234" t="str">
        <f t="shared" si="11"/>
        <v>+53</v>
      </c>
      <c r="L234" t="str">
        <f t="shared" si="12"/>
        <v>+48,8</v>
      </c>
      <c r="N234" s="2">
        <v>17</v>
      </c>
      <c r="O234" s="2">
        <v>53</v>
      </c>
      <c r="P234" s="2">
        <v>48.8</v>
      </c>
    </row>
    <row r="235" spans="1:16" x14ac:dyDescent="0.25">
      <c r="A235" s="1">
        <v>44796</v>
      </c>
      <c r="B235">
        <v>9</v>
      </c>
      <c r="C235">
        <v>4</v>
      </c>
      <c r="D235">
        <v>40.840000000000003</v>
      </c>
      <c r="E235" s="2" t="s">
        <v>1</v>
      </c>
      <c r="F235">
        <v>17</v>
      </c>
      <c r="G235">
        <v>34</v>
      </c>
      <c r="H235">
        <v>49.9</v>
      </c>
      <c r="J235" t="str">
        <f t="shared" si="10"/>
        <v>+17</v>
      </c>
      <c r="K235" t="str">
        <f t="shared" si="11"/>
        <v>+34</v>
      </c>
      <c r="L235" t="str">
        <f t="shared" si="12"/>
        <v>+49,9</v>
      </c>
      <c r="N235" s="2">
        <v>17</v>
      </c>
      <c r="O235" s="2">
        <v>34</v>
      </c>
      <c r="P235" s="2">
        <v>49.9</v>
      </c>
    </row>
    <row r="236" spans="1:16" x14ac:dyDescent="0.25">
      <c r="A236" s="1">
        <v>44797</v>
      </c>
      <c r="B236">
        <v>9</v>
      </c>
      <c r="C236">
        <v>9</v>
      </c>
      <c r="D236">
        <v>39.200000000000003</v>
      </c>
      <c r="E236" s="2" t="s">
        <v>1</v>
      </c>
      <c r="F236">
        <v>17</v>
      </c>
      <c r="G236">
        <v>15</v>
      </c>
      <c r="H236">
        <v>21</v>
      </c>
      <c r="J236" t="str">
        <f t="shared" si="10"/>
        <v>+17</v>
      </c>
      <c r="K236" t="str">
        <f t="shared" si="11"/>
        <v>+15</v>
      </c>
      <c r="L236" t="str">
        <f t="shared" si="12"/>
        <v>+21</v>
      </c>
      <c r="N236" s="2">
        <v>17</v>
      </c>
      <c r="O236" s="2">
        <v>15</v>
      </c>
      <c r="P236" s="2">
        <v>21</v>
      </c>
    </row>
    <row r="237" spans="1:16" x14ac:dyDescent="0.25">
      <c r="A237" s="1">
        <v>44798</v>
      </c>
      <c r="B237">
        <v>9</v>
      </c>
      <c r="C237">
        <v>14</v>
      </c>
      <c r="D237">
        <v>36.619999999999997</v>
      </c>
      <c r="E237" s="2" t="s">
        <v>1</v>
      </c>
      <c r="F237">
        <v>16</v>
      </c>
      <c r="G237">
        <v>55</v>
      </c>
      <c r="H237">
        <v>22.7</v>
      </c>
      <c r="J237" t="str">
        <f t="shared" si="10"/>
        <v>+16</v>
      </c>
      <c r="K237" t="str">
        <f t="shared" si="11"/>
        <v>+55</v>
      </c>
      <c r="L237" t="str">
        <f t="shared" si="12"/>
        <v>+22,7</v>
      </c>
      <c r="N237" s="2">
        <v>16</v>
      </c>
      <c r="O237" s="2">
        <v>55</v>
      </c>
      <c r="P237" s="2">
        <v>22.7</v>
      </c>
    </row>
    <row r="238" spans="1:16" x14ac:dyDescent="0.25">
      <c r="A238" s="1">
        <v>44799</v>
      </c>
      <c r="B238">
        <v>9</v>
      </c>
      <c r="C238">
        <v>19</v>
      </c>
      <c r="D238">
        <v>33.08</v>
      </c>
      <c r="E238" s="2" t="s">
        <v>1</v>
      </c>
      <c r="F238">
        <v>16</v>
      </c>
      <c r="G238">
        <v>34</v>
      </c>
      <c r="H238">
        <v>55.7</v>
      </c>
      <c r="J238" t="str">
        <f t="shared" si="10"/>
        <v>+16</v>
      </c>
      <c r="K238" t="str">
        <f t="shared" si="11"/>
        <v>+34</v>
      </c>
      <c r="L238" t="str">
        <f t="shared" si="12"/>
        <v>+55,7</v>
      </c>
      <c r="N238" s="2">
        <v>16</v>
      </c>
      <c r="O238" s="2">
        <v>34</v>
      </c>
      <c r="P238" s="2">
        <v>55.7</v>
      </c>
    </row>
    <row r="239" spans="1:16" x14ac:dyDescent="0.25">
      <c r="A239" s="1">
        <v>44800</v>
      </c>
      <c r="B239">
        <v>9</v>
      </c>
      <c r="C239">
        <v>24</v>
      </c>
      <c r="D239">
        <v>28.58</v>
      </c>
      <c r="E239" s="2" t="s">
        <v>1</v>
      </c>
      <c r="F239">
        <v>16</v>
      </c>
      <c r="G239">
        <v>14</v>
      </c>
      <c r="H239">
        <v>0.6</v>
      </c>
      <c r="J239" t="str">
        <f t="shared" si="10"/>
        <v>+16</v>
      </c>
      <c r="K239" t="str">
        <f t="shared" si="11"/>
        <v>+14</v>
      </c>
      <c r="L239" t="str">
        <f t="shared" si="12"/>
        <v>+0,6</v>
      </c>
      <c r="N239" s="2">
        <v>16</v>
      </c>
      <c r="O239" s="2">
        <v>14</v>
      </c>
      <c r="P239" s="2">
        <v>0.6</v>
      </c>
    </row>
    <row r="240" spans="1:16" x14ac:dyDescent="0.25">
      <c r="A240" s="1">
        <v>44801</v>
      </c>
      <c r="B240">
        <v>9</v>
      </c>
      <c r="C240">
        <v>29</v>
      </c>
      <c r="D240">
        <v>23.12</v>
      </c>
      <c r="E240" s="2" t="s">
        <v>1</v>
      </c>
      <c r="F240">
        <v>15</v>
      </c>
      <c r="G240">
        <v>52</v>
      </c>
      <c r="H240">
        <v>38.1</v>
      </c>
      <c r="J240" t="str">
        <f t="shared" si="10"/>
        <v>+15</v>
      </c>
      <c r="K240" t="str">
        <f t="shared" si="11"/>
        <v>+52</v>
      </c>
      <c r="L240" t="str">
        <f t="shared" si="12"/>
        <v>+38,1</v>
      </c>
      <c r="N240" s="2">
        <v>15</v>
      </c>
      <c r="O240" s="2">
        <v>52</v>
      </c>
      <c r="P240" s="2">
        <v>38.1</v>
      </c>
    </row>
    <row r="241" spans="1:16" x14ac:dyDescent="0.25">
      <c r="A241" s="1">
        <v>44802</v>
      </c>
      <c r="B241">
        <v>9</v>
      </c>
      <c r="C241">
        <v>34</v>
      </c>
      <c r="D241">
        <v>16.71</v>
      </c>
      <c r="E241" s="2" t="s">
        <v>1</v>
      </c>
      <c r="F241">
        <v>15</v>
      </c>
      <c r="G241">
        <v>30</v>
      </c>
      <c r="H241">
        <v>48.7</v>
      </c>
      <c r="J241" t="str">
        <f t="shared" si="10"/>
        <v>+15</v>
      </c>
      <c r="K241" t="str">
        <f t="shared" si="11"/>
        <v>+30</v>
      </c>
      <c r="L241" t="str">
        <f t="shared" si="12"/>
        <v>+48,7</v>
      </c>
      <c r="N241" s="2">
        <v>15</v>
      </c>
      <c r="O241" s="2">
        <v>30</v>
      </c>
      <c r="P241" s="2">
        <v>48.7</v>
      </c>
    </row>
    <row r="242" spans="1:16" x14ac:dyDescent="0.25">
      <c r="A242" s="1">
        <v>44803</v>
      </c>
      <c r="B242">
        <v>9</v>
      </c>
      <c r="C242">
        <v>39</v>
      </c>
      <c r="D242">
        <v>9.35</v>
      </c>
      <c r="E242" s="2" t="s">
        <v>1</v>
      </c>
      <c r="F242">
        <v>15</v>
      </c>
      <c r="G242">
        <v>8</v>
      </c>
      <c r="H242">
        <v>33.299999999999997</v>
      </c>
      <c r="J242" t="str">
        <f t="shared" si="10"/>
        <v>+15</v>
      </c>
      <c r="K242" t="str">
        <f t="shared" si="11"/>
        <v>+8</v>
      </c>
      <c r="L242" t="str">
        <f t="shared" si="12"/>
        <v>+33,3</v>
      </c>
      <c r="N242" s="2">
        <v>15</v>
      </c>
      <c r="O242" s="2">
        <v>8</v>
      </c>
      <c r="P242" s="2">
        <v>33.299999999999997</v>
      </c>
    </row>
    <row r="243" spans="1:16" x14ac:dyDescent="0.25">
      <c r="A243" s="1">
        <v>44804</v>
      </c>
      <c r="B243">
        <v>9</v>
      </c>
      <c r="C243">
        <v>44</v>
      </c>
      <c r="D243">
        <v>1.03</v>
      </c>
      <c r="E243" s="2" t="s">
        <v>1</v>
      </c>
      <c r="F243">
        <v>14</v>
      </c>
      <c r="G243">
        <v>45</v>
      </c>
      <c r="H243">
        <v>52.4</v>
      </c>
      <c r="J243" t="str">
        <f t="shared" si="10"/>
        <v>+14</v>
      </c>
      <c r="K243" t="str">
        <f t="shared" si="11"/>
        <v>+45</v>
      </c>
      <c r="L243" t="str">
        <f t="shared" si="12"/>
        <v>+52,4</v>
      </c>
      <c r="N243" s="2">
        <v>14</v>
      </c>
      <c r="O243" s="2">
        <v>45</v>
      </c>
      <c r="P243" s="2">
        <v>52.4</v>
      </c>
    </row>
    <row r="244" spans="1:16" x14ac:dyDescent="0.25">
      <c r="A244" s="1">
        <v>44805</v>
      </c>
      <c r="B244">
        <v>9</v>
      </c>
      <c r="C244">
        <v>48</v>
      </c>
      <c r="D244">
        <v>51.78</v>
      </c>
      <c r="E244" s="2" t="s">
        <v>1</v>
      </c>
      <c r="F244">
        <v>14</v>
      </c>
      <c r="G244">
        <v>22</v>
      </c>
      <c r="H244">
        <v>46.7</v>
      </c>
      <c r="J244" t="str">
        <f t="shared" si="10"/>
        <v>+14</v>
      </c>
      <c r="K244" t="str">
        <f t="shared" si="11"/>
        <v>+22</v>
      </c>
      <c r="L244" t="str">
        <f t="shared" si="12"/>
        <v>+46,7</v>
      </c>
      <c r="N244" s="2">
        <v>14</v>
      </c>
      <c r="O244" s="2">
        <v>22</v>
      </c>
      <c r="P244" s="2">
        <v>46.7</v>
      </c>
    </row>
    <row r="245" spans="1:16" x14ac:dyDescent="0.25">
      <c r="A245" s="1">
        <v>44806</v>
      </c>
      <c r="B245">
        <v>9</v>
      </c>
      <c r="C245">
        <v>53</v>
      </c>
      <c r="D245">
        <v>41.6</v>
      </c>
      <c r="E245" s="2" t="s">
        <v>1</v>
      </c>
      <c r="F245">
        <v>13</v>
      </c>
      <c r="G245">
        <v>59</v>
      </c>
      <c r="H245">
        <v>16.899999999999999</v>
      </c>
      <c r="J245" t="str">
        <f t="shared" si="10"/>
        <v>+13</v>
      </c>
      <c r="K245" t="str">
        <f t="shared" si="11"/>
        <v>+59</v>
      </c>
      <c r="L245" t="str">
        <f t="shared" si="12"/>
        <v>+16,9</v>
      </c>
      <c r="N245" s="2">
        <v>13</v>
      </c>
      <c r="O245" s="2">
        <v>59</v>
      </c>
      <c r="P245" s="2">
        <v>16.899999999999999</v>
      </c>
    </row>
    <row r="246" spans="1:16" x14ac:dyDescent="0.25">
      <c r="A246" s="1">
        <v>44807</v>
      </c>
      <c r="B246">
        <v>9</v>
      </c>
      <c r="C246">
        <v>58</v>
      </c>
      <c r="D246">
        <v>30.49</v>
      </c>
      <c r="E246" s="2" t="s">
        <v>1</v>
      </c>
      <c r="F246">
        <v>13</v>
      </c>
      <c r="G246">
        <v>35</v>
      </c>
      <c r="H246">
        <v>23.8</v>
      </c>
      <c r="J246" t="str">
        <f t="shared" si="10"/>
        <v>+13</v>
      </c>
      <c r="K246" t="str">
        <f t="shared" si="11"/>
        <v>+35</v>
      </c>
      <c r="L246" t="str">
        <f t="shared" si="12"/>
        <v>+23,8</v>
      </c>
      <c r="N246" s="2">
        <v>13</v>
      </c>
      <c r="O246" s="2">
        <v>35</v>
      </c>
      <c r="P246" s="2">
        <v>23.8</v>
      </c>
    </row>
    <row r="247" spans="1:16" x14ac:dyDescent="0.25">
      <c r="A247" s="1">
        <v>44808</v>
      </c>
      <c r="B247">
        <v>10</v>
      </c>
      <c r="C247">
        <v>3</v>
      </c>
      <c r="D247">
        <v>18.489999999999998</v>
      </c>
      <c r="E247" s="2" t="s">
        <v>1</v>
      </c>
      <c r="F247">
        <v>13</v>
      </c>
      <c r="G247">
        <v>11</v>
      </c>
      <c r="H247">
        <v>8</v>
      </c>
      <c r="J247" t="str">
        <f t="shared" si="10"/>
        <v>+13</v>
      </c>
      <c r="K247" t="str">
        <f t="shared" si="11"/>
        <v>+11</v>
      </c>
      <c r="L247" t="str">
        <f t="shared" si="12"/>
        <v>+8</v>
      </c>
      <c r="N247" s="2">
        <v>13</v>
      </c>
      <c r="O247" s="2">
        <v>11</v>
      </c>
      <c r="P247" s="2">
        <v>8</v>
      </c>
    </row>
    <row r="248" spans="1:16" x14ac:dyDescent="0.25">
      <c r="A248" s="1">
        <v>44809</v>
      </c>
      <c r="B248">
        <v>10</v>
      </c>
      <c r="C248">
        <v>8</v>
      </c>
      <c r="D248">
        <v>5.59</v>
      </c>
      <c r="E248" s="2" t="s">
        <v>1</v>
      </c>
      <c r="F248">
        <v>12</v>
      </c>
      <c r="G248">
        <v>46</v>
      </c>
      <c r="H248">
        <v>30.1</v>
      </c>
      <c r="J248" t="str">
        <f t="shared" si="10"/>
        <v>+12</v>
      </c>
      <c r="K248" t="str">
        <f t="shared" si="11"/>
        <v>+46</v>
      </c>
      <c r="L248" t="str">
        <f t="shared" si="12"/>
        <v>+30,1</v>
      </c>
      <c r="N248" s="2">
        <v>12</v>
      </c>
      <c r="O248" s="2">
        <v>46</v>
      </c>
      <c r="P248" s="2">
        <v>30.1</v>
      </c>
    </row>
    <row r="249" spans="1:16" x14ac:dyDescent="0.25">
      <c r="A249" s="1">
        <v>44810</v>
      </c>
      <c r="B249">
        <v>10</v>
      </c>
      <c r="C249">
        <v>12</v>
      </c>
      <c r="D249">
        <v>51.83</v>
      </c>
      <c r="E249" s="2" t="s">
        <v>1</v>
      </c>
      <c r="F249">
        <v>12</v>
      </c>
      <c r="G249">
        <v>21</v>
      </c>
      <c r="H249">
        <v>30.9</v>
      </c>
      <c r="J249" t="str">
        <f t="shared" si="10"/>
        <v>+12</v>
      </c>
      <c r="K249" t="str">
        <f t="shared" si="11"/>
        <v>+21</v>
      </c>
      <c r="L249" t="str">
        <f t="shared" si="12"/>
        <v>+30,9</v>
      </c>
      <c r="N249" s="2">
        <v>12</v>
      </c>
      <c r="O249" s="2">
        <v>21</v>
      </c>
      <c r="P249" s="2">
        <v>30.9</v>
      </c>
    </row>
    <row r="250" spans="1:16" x14ac:dyDescent="0.25">
      <c r="A250" s="1">
        <v>44811</v>
      </c>
      <c r="B250">
        <v>10</v>
      </c>
      <c r="C250">
        <v>17</v>
      </c>
      <c r="D250">
        <v>37.22</v>
      </c>
      <c r="E250" s="2" t="s">
        <v>1</v>
      </c>
      <c r="F250">
        <v>11</v>
      </c>
      <c r="G250">
        <v>56</v>
      </c>
      <c r="H250">
        <v>11.2</v>
      </c>
      <c r="J250" t="str">
        <f t="shared" si="10"/>
        <v>+11</v>
      </c>
      <c r="K250" t="str">
        <f t="shared" si="11"/>
        <v>+56</v>
      </c>
      <c r="L250" t="str">
        <f t="shared" si="12"/>
        <v>+11,2</v>
      </c>
      <c r="N250" s="2">
        <v>11</v>
      </c>
      <c r="O250" s="2">
        <v>56</v>
      </c>
      <c r="P250" s="2">
        <v>11.2</v>
      </c>
    </row>
    <row r="251" spans="1:16" x14ac:dyDescent="0.25">
      <c r="A251" s="1">
        <v>44812</v>
      </c>
      <c r="B251">
        <v>10</v>
      </c>
      <c r="C251">
        <v>22</v>
      </c>
      <c r="D251">
        <v>21.78</v>
      </c>
      <c r="E251" s="2" t="s">
        <v>1</v>
      </c>
      <c r="F251">
        <v>11</v>
      </c>
      <c r="G251">
        <v>30</v>
      </c>
      <c r="H251">
        <v>31.4</v>
      </c>
      <c r="J251" t="str">
        <f t="shared" si="10"/>
        <v>+11</v>
      </c>
      <c r="K251" t="str">
        <f t="shared" si="11"/>
        <v>+30</v>
      </c>
      <c r="L251" t="str">
        <f t="shared" si="12"/>
        <v>+31,4</v>
      </c>
      <c r="N251" s="2">
        <v>11</v>
      </c>
      <c r="O251" s="2">
        <v>30</v>
      </c>
      <c r="P251" s="2">
        <v>31.4</v>
      </c>
    </row>
    <row r="252" spans="1:16" x14ac:dyDescent="0.25">
      <c r="A252" s="1">
        <v>44813</v>
      </c>
      <c r="B252">
        <v>10</v>
      </c>
      <c r="C252">
        <v>27</v>
      </c>
      <c r="D252">
        <v>5.54</v>
      </c>
      <c r="E252" s="2" t="s">
        <v>1</v>
      </c>
      <c r="F252">
        <v>11</v>
      </c>
      <c r="G252">
        <v>4</v>
      </c>
      <c r="H252">
        <v>32.5</v>
      </c>
      <c r="J252" t="str">
        <f t="shared" si="10"/>
        <v>+11</v>
      </c>
      <c r="K252" t="str">
        <f t="shared" si="11"/>
        <v>+4</v>
      </c>
      <c r="L252" t="str">
        <f t="shared" si="12"/>
        <v>+32,5</v>
      </c>
      <c r="N252" s="2">
        <v>11</v>
      </c>
      <c r="O252" s="2">
        <v>4</v>
      </c>
      <c r="P252" s="2">
        <v>32.5</v>
      </c>
    </row>
    <row r="253" spans="1:16" x14ac:dyDescent="0.25">
      <c r="A253" s="1">
        <v>44814</v>
      </c>
      <c r="B253">
        <v>10</v>
      </c>
      <c r="C253">
        <v>31</v>
      </c>
      <c r="D253">
        <v>48.53</v>
      </c>
      <c r="E253" s="2" t="s">
        <v>1</v>
      </c>
      <c r="F253">
        <v>10</v>
      </c>
      <c r="G253">
        <v>38</v>
      </c>
      <c r="H253">
        <v>15</v>
      </c>
      <c r="J253" t="str">
        <f t="shared" si="10"/>
        <v>+10</v>
      </c>
      <c r="K253" t="str">
        <f t="shared" si="11"/>
        <v>+38</v>
      </c>
      <c r="L253" t="str">
        <f t="shared" si="12"/>
        <v>+15</v>
      </c>
      <c r="N253" s="2">
        <v>10</v>
      </c>
      <c r="O253" s="2">
        <v>38</v>
      </c>
      <c r="P253" s="2">
        <v>15</v>
      </c>
    </row>
    <row r="254" spans="1:16" x14ac:dyDescent="0.25">
      <c r="A254" s="1">
        <v>44815</v>
      </c>
      <c r="B254">
        <v>10</v>
      </c>
      <c r="C254">
        <v>36</v>
      </c>
      <c r="D254">
        <v>30.77</v>
      </c>
      <c r="E254" s="2" t="s">
        <v>1</v>
      </c>
      <c r="F254">
        <v>10</v>
      </c>
      <c r="G254">
        <v>11</v>
      </c>
      <c r="H254">
        <v>39.6</v>
      </c>
      <c r="J254" t="str">
        <f t="shared" si="10"/>
        <v>+10</v>
      </c>
      <c r="K254" t="str">
        <f t="shared" si="11"/>
        <v>+11</v>
      </c>
      <c r="L254" t="str">
        <f t="shared" si="12"/>
        <v>+39,6</v>
      </c>
      <c r="N254" s="2">
        <v>10</v>
      </c>
      <c r="O254" s="2">
        <v>11</v>
      </c>
      <c r="P254" s="2">
        <v>39.6</v>
      </c>
    </row>
    <row r="255" spans="1:16" x14ac:dyDescent="0.25">
      <c r="A255" s="1">
        <v>44816</v>
      </c>
      <c r="B255">
        <v>10</v>
      </c>
      <c r="C255">
        <v>41</v>
      </c>
      <c r="D255">
        <v>12.29</v>
      </c>
      <c r="E255" s="2" t="s">
        <v>1</v>
      </c>
      <c r="F255">
        <v>9</v>
      </c>
      <c r="G255">
        <v>44</v>
      </c>
      <c r="H255">
        <v>47.1</v>
      </c>
      <c r="J255" t="str">
        <f t="shared" si="10"/>
        <v>+9</v>
      </c>
      <c r="K255" t="str">
        <f t="shared" si="11"/>
        <v>+44</v>
      </c>
      <c r="L255" t="str">
        <f t="shared" si="12"/>
        <v>+47,1</v>
      </c>
      <c r="N255" s="2">
        <v>9</v>
      </c>
      <c r="O255" s="2">
        <v>44</v>
      </c>
      <c r="P255" s="2">
        <v>47.1</v>
      </c>
    </row>
    <row r="256" spans="1:16" x14ac:dyDescent="0.25">
      <c r="A256" s="1">
        <v>44817</v>
      </c>
      <c r="B256">
        <v>10</v>
      </c>
      <c r="C256">
        <v>45</v>
      </c>
      <c r="D256">
        <v>53.12</v>
      </c>
      <c r="E256" s="2" t="s">
        <v>1</v>
      </c>
      <c r="F256">
        <v>9</v>
      </c>
      <c r="G256">
        <v>17</v>
      </c>
      <c r="H256">
        <v>38.1</v>
      </c>
      <c r="J256" t="str">
        <f t="shared" si="10"/>
        <v>+9</v>
      </c>
      <c r="K256" t="str">
        <f t="shared" si="11"/>
        <v>+17</v>
      </c>
      <c r="L256" t="str">
        <f t="shared" si="12"/>
        <v>+38,1</v>
      </c>
      <c r="N256" s="2">
        <v>9</v>
      </c>
      <c r="O256" s="2">
        <v>17</v>
      </c>
      <c r="P256" s="2">
        <v>38.1</v>
      </c>
    </row>
    <row r="257" spans="1:16" x14ac:dyDescent="0.25">
      <c r="A257" s="1">
        <v>44818</v>
      </c>
      <c r="B257">
        <v>10</v>
      </c>
      <c r="C257">
        <v>50</v>
      </c>
      <c r="D257">
        <v>33.299999999999997</v>
      </c>
      <c r="E257" s="2" t="s">
        <v>1</v>
      </c>
      <c r="F257">
        <v>8</v>
      </c>
      <c r="G257">
        <v>50</v>
      </c>
      <c r="H257">
        <v>13.3</v>
      </c>
      <c r="J257" t="str">
        <f t="shared" si="10"/>
        <v>+8</v>
      </c>
      <c r="K257" t="str">
        <f t="shared" si="11"/>
        <v>+50</v>
      </c>
      <c r="L257" t="str">
        <f t="shared" si="12"/>
        <v>+13,3</v>
      </c>
      <c r="N257" s="2">
        <v>8</v>
      </c>
      <c r="O257" s="2">
        <v>50</v>
      </c>
      <c r="P257" s="2">
        <v>13.3</v>
      </c>
    </row>
    <row r="258" spans="1:16" x14ac:dyDescent="0.25">
      <c r="A258" s="1">
        <v>44819</v>
      </c>
      <c r="B258">
        <v>10</v>
      </c>
      <c r="C258">
        <v>55</v>
      </c>
      <c r="D258">
        <v>12.84</v>
      </c>
      <c r="E258" s="2" t="s">
        <v>1</v>
      </c>
      <c r="F258">
        <v>8</v>
      </c>
      <c r="G258">
        <v>22</v>
      </c>
      <c r="H258">
        <v>33.5</v>
      </c>
      <c r="J258" t="str">
        <f t="shared" ref="J258:J321" si="13">$E258&amp;F258</f>
        <v>+8</v>
      </c>
      <c r="K258" t="str">
        <f t="shared" ref="K258:K321" si="14">$E258&amp;G258</f>
        <v>+22</v>
      </c>
      <c r="L258" t="str">
        <f t="shared" ref="L258:L321" si="15">$E258&amp;H258</f>
        <v>+33,5</v>
      </c>
      <c r="N258" s="2">
        <v>8</v>
      </c>
      <c r="O258" s="2">
        <v>22</v>
      </c>
      <c r="P258" s="2">
        <v>33.5</v>
      </c>
    </row>
    <row r="259" spans="1:16" x14ac:dyDescent="0.25">
      <c r="A259" s="1">
        <v>44820</v>
      </c>
      <c r="B259">
        <v>10</v>
      </c>
      <c r="C259">
        <v>59</v>
      </c>
      <c r="D259">
        <v>51.79</v>
      </c>
      <c r="E259" s="2" t="s">
        <v>1</v>
      </c>
      <c r="F259">
        <v>7</v>
      </c>
      <c r="G259">
        <v>54</v>
      </c>
      <c r="H259">
        <v>39.299999999999997</v>
      </c>
      <c r="J259" t="str">
        <f t="shared" si="13"/>
        <v>+7</v>
      </c>
      <c r="K259" t="str">
        <f t="shared" si="14"/>
        <v>+54</v>
      </c>
      <c r="L259" t="str">
        <f t="shared" si="15"/>
        <v>+39,3</v>
      </c>
      <c r="N259" s="2">
        <v>7</v>
      </c>
      <c r="O259" s="2">
        <v>54</v>
      </c>
      <c r="P259" s="2">
        <v>39.299999999999997</v>
      </c>
    </row>
    <row r="260" spans="1:16" x14ac:dyDescent="0.25">
      <c r="A260" s="1">
        <v>44821</v>
      </c>
      <c r="B260">
        <v>11</v>
      </c>
      <c r="C260">
        <v>4</v>
      </c>
      <c r="D260">
        <v>30.17</v>
      </c>
      <c r="E260" s="2" t="s">
        <v>1</v>
      </c>
      <c r="F260">
        <v>7</v>
      </c>
      <c r="G260">
        <v>26</v>
      </c>
      <c r="H260">
        <v>31.5</v>
      </c>
      <c r="J260" t="str">
        <f t="shared" si="13"/>
        <v>+7</v>
      </c>
      <c r="K260" t="str">
        <f t="shared" si="14"/>
        <v>+26</v>
      </c>
      <c r="L260" t="str">
        <f t="shared" si="15"/>
        <v>+31,5</v>
      </c>
      <c r="N260" s="2">
        <v>7</v>
      </c>
      <c r="O260" s="2">
        <v>26</v>
      </c>
      <c r="P260" s="2">
        <v>31.5</v>
      </c>
    </row>
    <row r="261" spans="1:16" x14ac:dyDescent="0.25">
      <c r="A261" s="1">
        <v>44822</v>
      </c>
      <c r="B261">
        <v>11</v>
      </c>
      <c r="C261">
        <v>9</v>
      </c>
      <c r="D261">
        <v>8.01</v>
      </c>
      <c r="E261" s="2" t="s">
        <v>1</v>
      </c>
      <c r="F261">
        <v>6</v>
      </c>
      <c r="G261">
        <v>58</v>
      </c>
      <c r="H261">
        <v>10.8</v>
      </c>
      <c r="J261" t="str">
        <f t="shared" si="13"/>
        <v>+6</v>
      </c>
      <c r="K261" t="str">
        <f t="shared" si="14"/>
        <v>+58</v>
      </c>
      <c r="L261" t="str">
        <f t="shared" si="15"/>
        <v>+10,8</v>
      </c>
      <c r="N261" s="2">
        <v>6</v>
      </c>
      <c r="O261" s="2">
        <v>58</v>
      </c>
      <c r="P261" s="2">
        <v>10.8</v>
      </c>
    </row>
    <row r="262" spans="1:16" x14ac:dyDescent="0.25">
      <c r="A262" s="1">
        <v>44823</v>
      </c>
      <c r="B262">
        <v>11</v>
      </c>
      <c r="C262">
        <v>13</v>
      </c>
      <c r="D262">
        <v>45.36</v>
      </c>
      <c r="E262" s="2" t="s">
        <v>1</v>
      </c>
      <c r="F262">
        <v>6</v>
      </c>
      <c r="G262">
        <v>29</v>
      </c>
      <c r="H262">
        <v>37.9</v>
      </c>
      <c r="J262" t="str">
        <f t="shared" si="13"/>
        <v>+6</v>
      </c>
      <c r="K262" t="str">
        <f t="shared" si="14"/>
        <v>+29</v>
      </c>
      <c r="L262" t="str">
        <f t="shared" si="15"/>
        <v>+37,9</v>
      </c>
      <c r="N262" s="2">
        <v>6</v>
      </c>
      <c r="O262" s="2">
        <v>29</v>
      </c>
      <c r="P262" s="2">
        <v>37.9</v>
      </c>
    </row>
    <row r="263" spans="1:16" x14ac:dyDescent="0.25">
      <c r="A263" s="1">
        <v>44824</v>
      </c>
      <c r="B263">
        <v>11</v>
      </c>
      <c r="C263">
        <v>18</v>
      </c>
      <c r="D263">
        <v>22.24</v>
      </c>
      <c r="E263" s="2" t="s">
        <v>1</v>
      </c>
      <c r="F263">
        <v>6</v>
      </c>
      <c r="G263">
        <v>0</v>
      </c>
      <c r="H263">
        <v>53.5</v>
      </c>
      <c r="J263" t="str">
        <f t="shared" si="13"/>
        <v>+6</v>
      </c>
      <c r="K263" t="str">
        <f t="shared" si="14"/>
        <v>+0</v>
      </c>
      <c r="L263" t="str">
        <f t="shared" si="15"/>
        <v>+53,5</v>
      </c>
      <c r="N263" s="2">
        <v>6</v>
      </c>
      <c r="O263" s="2">
        <v>0</v>
      </c>
      <c r="P263" s="2">
        <v>53.5</v>
      </c>
    </row>
    <row r="264" spans="1:16" x14ac:dyDescent="0.25">
      <c r="A264" s="1">
        <v>44825</v>
      </c>
      <c r="B264">
        <v>11</v>
      </c>
      <c r="C264">
        <v>22</v>
      </c>
      <c r="D264">
        <v>58.68</v>
      </c>
      <c r="E264" s="2" t="s">
        <v>1</v>
      </c>
      <c r="F264">
        <v>5</v>
      </c>
      <c r="G264">
        <v>31</v>
      </c>
      <c r="H264">
        <v>58.3</v>
      </c>
      <c r="J264" t="str">
        <f t="shared" si="13"/>
        <v>+5</v>
      </c>
      <c r="K264" t="str">
        <f t="shared" si="14"/>
        <v>+31</v>
      </c>
      <c r="L264" t="str">
        <f t="shared" si="15"/>
        <v>+58,3</v>
      </c>
      <c r="N264" s="2">
        <v>5</v>
      </c>
      <c r="O264" s="2">
        <v>31</v>
      </c>
      <c r="P264" s="2">
        <v>58.3</v>
      </c>
    </row>
    <row r="265" spans="1:16" x14ac:dyDescent="0.25">
      <c r="A265" s="1">
        <v>44826</v>
      </c>
      <c r="B265">
        <v>11</v>
      </c>
      <c r="C265">
        <v>27</v>
      </c>
      <c r="D265">
        <v>34.729999999999997</v>
      </c>
      <c r="E265" s="2" t="s">
        <v>1</v>
      </c>
      <c r="F265">
        <v>5</v>
      </c>
      <c r="G265">
        <v>2</v>
      </c>
      <c r="H265">
        <v>53.1</v>
      </c>
      <c r="J265" t="str">
        <f t="shared" si="13"/>
        <v>+5</v>
      </c>
      <c r="K265" t="str">
        <f t="shared" si="14"/>
        <v>+2</v>
      </c>
      <c r="L265" t="str">
        <f t="shared" si="15"/>
        <v>+53,1</v>
      </c>
      <c r="N265" s="2">
        <v>5</v>
      </c>
      <c r="O265" s="2">
        <v>2</v>
      </c>
      <c r="P265" s="2">
        <v>53.1</v>
      </c>
    </row>
    <row r="266" spans="1:16" x14ac:dyDescent="0.25">
      <c r="A266" s="1">
        <v>44827</v>
      </c>
      <c r="B266">
        <v>11</v>
      </c>
      <c r="C266">
        <v>32</v>
      </c>
      <c r="D266">
        <v>10.41</v>
      </c>
      <c r="E266" s="2" t="s">
        <v>1</v>
      </c>
      <c r="F266">
        <v>4</v>
      </c>
      <c r="G266">
        <v>33</v>
      </c>
      <c r="H266">
        <v>38.700000000000003</v>
      </c>
      <c r="J266" t="str">
        <f t="shared" si="13"/>
        <v>+4</v>
      </c>
      <c r="K266" t="str">
        <f t="shared" si="14"/>
        <v>+33</v>
      </c>
      <c r="L266" t="str">
        <f t="shared" si="15"/>
        <v>+38,7</v>
      </c>
      <c r="N266" s="2">
        <v>4</v>
      </c>
      <c r="O266" s="2">
        <v>33</v>
      </c>
      <c r="P266" s="2">
        <v>38.700000000000003</v>
      </c>
    </row>
    <row r="267" spans="1:16" x14ac:dyDescent="0.25">
      <c r="A267" s="1">
        <v>44828</v>
      </c>
      <c r="B267">
        <v>11</v>
      </c>
      <c r="C267">
        <v>36</v>
      </c>
      <c r="D267">
        <v>45.77</v>
      </c>
      <c r="E267" s="2" t="s">
        <v>1</v>
      </c>
      <c r="F267">
        <v>4</v>
      </c>
      <c r="G267">
        <v>4</v>
      </c>
      <c r="H267">
        <v>15.7</v>
      </c>
      <c r="J267" t="str">
        <f t="shared" si="13"/>
        <v>+4</v>
      </c>
      <c r="K267" t="str">
        <f t="shared" si="14"/>
        <v>+4</v>
      </c>
      <c r="L267" t="str">
        <f t="shared" si="15"/>
        <v>+15,7</v>
      </c>
      <c r="N267" s="2">
        <v>4</v>
      </c>
      <c r="O267" s="2">
        <v>4</v>
      </c>
      <c r="P267" s="2">
        <v>15.7</v>
      </c>
    </row>
    <row r="268" spans="1:16" x14ac:dyDescent="0.25">
      <c r="A268" s="1">
        <v>44829</v>
      </c>
      <c r="B268">
        <v>11</v>
      </c>
      <c r="C268">
        <v>41</v>
      </c>
      <c r="D268">
        <v>20.83</v>
      </c>
      <c r="E268" s="2" t="s">
        <v>1</v>
      </c>
      <c r="F268">
        <v>3</v>
      </c>
      <c r="G268">
        <v>34</v>
      </c>
      <c r="H268">
        <v>44.9</v>
      </c>
      <c r="J268" t="str">
        <f t="shared" si="13"/>
        <v>+3</v>
      </c>
      <c r="K268" t="str">
        <f t="shared" si="14"/>
        <v>+34</v>
      </c>
      <c r="L268" t="str">
        <f t="shared" si="15"/>
        <v>+44,9</v>
      </c>
      <c r="N268" s="2">
        <v>3</v>
      </c>
      <c r="O268" s="2">
        <v>34</v>
      </c>
      <c r="P268" s="2">
        <v>44.9</v>
      </c>
    </row>
    <row r="269" spans="1:16" x14ac:dyDescent="0.25">
      <c r="A269" s="1">
        <v>44830</v>
      </c>
      <c r="B269">
        <v>11</v>
      </c>
      <c r="C269">
        <v>45</v>
      </c>
      <c r="D269">
        <v>55.64</v>
      </c>
      <c r="E269" s="2" t="s">
        <v>1</v>
      </c>
      <c r="F269">
        <v>3</v>
      </c>
      <c r="G269">
        <v>5</v>
      </c>
      <c r="H269">
        <v>7</v>
      </c>
      <c r="J269" t="str">
        <f t="shared" si="13"/>
        <v>+3</v>
      </c>
      <c r="K269" t="str">
        <f t="shared" si="14"/>
        <v>+5</v>
      </c>
      <c r="L269" t="str">
        <f t="shared" si="15"/>
        <v>+7</v>
      </c>
      <c r="N269" s="2">
        <v>3</v>
      </c>
      <c r="O269" s="2">
        <v>5</v>
      </c>
      <c r="P269" s="2">
        <v>7</v>
      </c>
    </row>
    <row r="270" spans="1:16" x14ac:dyDescent="0.25">
      <c r="A270" s="1">
        <v>44831</v>
      </c>
      <c r="B270">
        <v>11</v>
      </c>
      <c r="C270">
        <v>50</v>
      </c>
      <c r="D270">
        <v>30.23</v>
      </c>
      <c r="E270" s="2" t="s">
        <v>1</v>
      </c>
      <c r="F270">
        <v>2</v>
      </c>
      <c r="G270">
        <v>35</v>
      </c>
      <c r="H270">
        <v>22.8</v>
      </c>
      <c r="J270" t="str">
        <f t="shared" si="13"/>
        <v>+2</v>
      </c>
      <c r="K270" t="str">
        <f t="shared" si="14"/>
        <v>+35</v>
      </c>
      <c r="L270" t="str">
        <f t="shared" si="15"/>
        <v>+22,8</v>
      </c>
      <c r="N270" s="2">
        <v>2</v>
      </c>
      <c r="O270" s="2">
        <v>35</v>
      </c>
      <c r="P270" s="2">
        <v>22.8</v>
      </c>
    </row>
    <row r="271" spans="1:16" x14ac:dyDescent="0.25">
      <c r="A271" s="1">
        <v>44832</v>
      </c>
      <c r="B271">
        <v>11</v>
      </c>
      <c r="C271">
        <v>55</v>
      </c>
      <c r="D271">
        <v>4.6399999999999997</v>
      </c>
      <c r="E271" s="2" t="s">
        <v>1</v>
      </c>
      <c r="F271">
        <v>2</v>
      </c>
      <c r="G271">
        <v>5</v>
      </c>
      <c r="H271">
        <v>33.1</v>
      </c>
      <c r="J271" t="str">
        <f t="shared" si="13"/>
        <v>+2</v>
      </c>
      <c r="K271" t="str">
        <f t="shared" si="14"/>
        <v>+5</v>
      </c>
      <c r="L271" t="str">
        <f t="shared" si="15"/>
        <v>+33,1</v>
      </c>
      <c r="N271" s="2">
        <v>2</v>
      </c>
      <c r="O271" s="2">
        <v>5</v>
      </c>
      <c r="P271" s="2">
        <v>33.1</v>
      </c>
    </row>
    <row r="272" spans="1:16" x14ac:dyDescent="0.25">
      <c r="A272" s="1">
        <v>44833</v>
      </c>
      <c r="B272">
        <v>11</v>
      </c>
      <c r="C272">
        <v>59</v>
      </c>
      <c r="D272">
        <v>38.909999999999997</v>
      </c>
      <c r="E272" s="2" t="s">
        <v>1</v>
      </c>
      <c r="F272">
        <v>1</v>
      </c>
      <c r="G272">
        <v>35</v>
      </c>
      <c r="H272">
        <v>38.5</v>
      </c>
      <c r="J272" t="str">
        <f t="shared" si="13"/>
        <v>+1</v>
      </c>
      <c r="K272" t="str">
        <f t="shared" si="14"/>
        <v>+35</v>
      </c>
      <c r="L272" t="str">
        <f t="shared" si="15"/>
        <v>+38,5</v>
      </c>
      <c r="N272" s="2">
        <v>1</v>
      </c>
      <c r="O272" s="2">
        <v>35</v>
      </c>
      <c r="P272" s="2">
        <v>38.5</v>
      </c>
    </row>
    <row r="273" spans="1:16" x14ac:dyDescent="0.25">
      <c r="A273" s="1">
        <v>44834</v>
      </c>
      <c r="B273">
        <v>12</v>
      </c>
      <c r="C273">
        <v>4</v>
      </c>
      <c r="D273">
        <v>13.07</v>
      </c>
      <c r="E273" s="2" t="s">
        <v>1</v>
      </c>
      <c r="F273">
        <v>1</v>
      </c>
      <c r="G273">
        <v>5</v>
      </c>
      <c r="H273">
        <v>39.9</v>
      </c>
      <c r="J273" t="str">
        <f t="shared" si="13"/>
        <v>+1</v>
      </c>
      <c r="K273" t="str">
        <f t="shared" si="14"/>
        <v>+5</v>
      </c>
      <c r="L273" t="str">
        <f t="shared" si="15"/>
        <v>+39,9</v>
      </c>
      <c r="N273" s="2">
        <v>1</v>
      </c>
      <c r="O273" s="2">
        <v>5</v>
      </c>
      <c r="P273" s="2">
        <v>39.9</v>
      </c>
    </row>
    <row r="274" spans="1:16" x14ac:dyDescent="0.25">
      <c r="A274" s="1">
        <v>44835</v>
      </c>
      <c r="B274">
        <v>12</v>
      </c>
      <c r="C274">
        <v>8</v>
      </c>
      <c r="D274">
        <v>47.17</v>
      </c>
      <c r="E274" s="2" t="s">
        <v>1</v>
      </c>
      <c r="F274">
        <v>0</v>
      </c>
      <c r="G274">
        <v>35</v>
      </c>
      <c r="H274">
        <v>37.9</v>
      </c>
      <c r="J274" t="str">
        <f t="shared" si="13"/>
        <v>+0</v>
      </c>
      <c r="K274" t="str">
        <f t="shared" si="14"/>
        <v>+35</v>
      </c>
      <c r="L274" t="str">
        <f t="shared" si="15"/>
        <v>+37,9</v>
      </c>
      <c r="N274" s="2">
        <v>0</v>
      </c>
      <c r="O274" s="2">
        <v>35</v>
      </c>
      <c r="P274" s="2">
        <v>37.9</v>
      </c>
    </row>
    <row r="275" spans="1:16" x14ac:dyDescent="0.25">
      <c r="A275" s="1">
        <v>44836</v>
      </c>
      <c r="B275">
        <v>12</v>
      </c>
      <c r="C275">
        <v>13</v>
      </c>
      <c r="D275">
        <v>21.23</v>
      </c>
      <c r="E275" s="2" t="s">
        <v>1</v>
      </c>
      <c r="F275">
        <v>0</v>
      </c>
      <c r="G275">
        <v>5</v>
      </c>
      <c r="H275">
        <v>33.299999999999997</v>
      </c>
      <c r="J275" t="str">
        <f t="shared" si="13"/>
        <v>+0</v>
      </c>
      <c r="K275" t="str">
        <f t="shared" si="14"/>
        <v>+5</v>
      </c>
      <c r="L275" t="str">
        <f t="shared" si="15"/>
        <v>+33,3</v>
      </c>
      <c r="N275" s="2">
        <v>0</v>
      </c>
      <c r="O275" s="2">
        <v>5</v>
      </c>
      <c r="P275" s="2">
        <v>33.299999999999997</v>
      </c>
    </row>
    <row r="276" spans="1:16" x14ac:dyDescent="0.25">
      <c r="A276" s="1">
        <v>44837</v>
      </c>
      <c r="B276">
        <v>12</v>
      </c>
      <c r="C276">
        <v>17</v>
      </c>
      <c r="D276">
        <v>55.32</v>
      </c>
      <c r="E276" s="2" t="s">
        <v>0</v>
      </c>
      <c r="F276">
        <v>0</v>
      </c>
      <c r="G276">
        <v>24</v>
      </c>
      <c r="H276">
        <v>33.1</v>
      </c>
      <c r="J276" t="str">
        <f t="shared" si="13"/>
        <v>-0</v>
      </c>
      <c r="K276" t="str">
        <f t="shared" si="14"/>
        <v>-24</v>
      </c>
      <c r="L276" t="str">
        <f t="shared" si="15"/>
        <v>-33,1</v>
      </c>
      <c r="N276" s="2">
        <v>0</v>
      </c>
      <c r="O276" s="2">
        <v>-24</v>
      </c>
      <c r="P276" s="2">
        <v>-33.1</v>
      </c>
    </row>
    <row r="277" spans="1:16" x14ac:dyDescent="0.25">
      <c r="A277" s="1">
        <v>44838</v>
      </c>
      <c r="B277">
        <v>12</v>
      </c>
      <c r="C277">
        <v>22</v>
      </c>
      <c r="D277">
        <v>29.45</v>
      </c>
      <c r="E277" s="2" t="s">
        <v>0</v>
      </c>
      <c r="F277">
        <v>0</v>
      </c>
      <c r="G277">
        <v>54</v>
      </c>
      <c r="H277">
        <v>40.6</v>
      </c>
      <c r="J277" t="str">
        <f t="shared" si="13"/>
        <v>-0</v>
      </c>
      <c r="K277" t="str">
        <f t="shared" si="14"/>
        <v>-54</v>
      </c>
      <c r="L277" t="str">
        <f t="shared" si="15"/>
        <v>-40,6</v>
      </c>
      <c r="N277" s="2">
        <v>0</v>
      </c>
      <c r="O277" s="2">
        <v>-54</v>
      </c>
      <c r="P277" s="2">
        <v>-40.6</v>
      </c>
    </row>
    <row r="278" spans="1:16" x14ac:dyDescent="0.25">
      <c r="A278" s="1">
        <v>44839</v>
      </c>
      <c r="B278">
        <v>12</v>
      </c>
      <c r="C278">
        <v>27</v>
      </c>
      <c r="D278">
        <v>3.68</v>
      </c>
      <c r="E278" s="2" t="s">
        <v>0</v>
      </c>
      <c r="F278">
        <v>1</v>
      </c>
      <c r="G278">
        <v>24</v>
      </c>
      <c r="H278">
        <v>48.4</v>
      </c>
      <c r="J278" t="str">
        <f t="shared" si="13"/>
        <v>-1</v>
      </c>
      <c r="K278" t="str">
        <f t="shared" si="14"/>
        <v>-24</v>
      </c>
      <c r="L278" t="str">
        <f t="shared" si="15"/>
        <v>-48,4</v>
      </c>
      <c r="N278" s="2">
        <v>-1</v>
      </c>
      <c r="O278" s="2">
        <v>-24</v>
      </c>
      <c r="P278" s="2">
        <v>-48.4</v>
      </c>
    </row>
    <row r="279" spans="1:16" x14ac:dyDescent="0.25">
      <c r="A279" s="1">
        <v>44840</v>
      </c>
      <c r="B279">
        <v>12</v>
      </c>
      <c r="C279">
        <v>31</v>
      </c>
      <c r="D279">
        <v>38.049999999999997</v>
      </c>
      <c r="E279" s="2" t="s">
        <v>0</v>
      </c>
      <c r="F279">
        <v>1</v>
      </c>
      <c r="G279">
        <v>54</v>
      </c>
      <c r="H279">
        <v>55.9</v>
      </c>
      <c r="J279" t="str">
        <f t="shared" si="13"/>
        <v>-1</v>
      </c>
      <c r="K279" t="str">
        <f t="shared" si="14"/>
        <v>-54</v>
      </c>
      <c r="L279" t="str">
        <f t="shared" si="15"/>
        <v>-55,9</v>
      </c>
      <c r="N279" s="2">
        <v>-1</v>
      </c>
      <c r="O279" s="2">
        <v>-54</v>
      </c>
      <c r="P279" s="2">
        <v>-55.9</v>
      </c>
    </row>
    <row r="280" spans="1:16" x14ac:dyDescent="0.25">
      <c r="A280" s="1">
        <v>44841</v>
      </c>
      <c r="B280">
        <v>12</v>
      </c>
      <c r="C280">
        <v>36</v>
      </c>
      <c r="D280">
        <v>12.59</v>
      </c>
      <c r="E280" s="2" t="s">
        <v>0</v>
      </c>
      <c r="F280">
        <v>2</v>
      </c>
      <c r="G280">
        <v>25</v>
      </c>
      <c r="H280">
        <v>2.2000000000000002</v>
      </c>
      <c r="J280" t="str">
        <f t="shared" si="13"/>
        <v>-2</v>
      </c>
      <c r="K280" t="str">
        <f t="shared" si="14"/>
        <v>-25</v>
      </c>
      <c r="L280" t="str">
        <f t="shared" si="15"/>
        <v>-2,2</v>
      </c>
      <c r="N280" s="2">
        <v>-2</v>
      </c>
      <c r="O280" s="2">
        <v>-25</v>
      </c>
      <c r="P280" s="2">
        <v>-2.2000000000000002</v>
      </c>
    </row>
    <row r="281" spans="1:16" x14ac:dyDescent="0.25">
      <c r="A281" s="1">
        <v>44842</v>
      </c>
      <c r="B281">
        <v>12</v>
      </c>
      <c r="C281">
        <v>40</v>
      </c>
      <c r="D281">
        <v>47.36</v>
      </c>
      <c r="E281" s="2" t="s">
        <v>0</v>
      </c>
      <c r="F281">
        <v>2</v>
      </c>
      <c r="G281">
        <v>55</v>
      </c>
      <c r="H281">
        <v>6.7</v>
      </c>
      <c r="J281" t="str">
        <f t="shared" si="13"/>
        <v>-2</v>
      </c>
      <c r="K281" t="str">
        <f t="shared" si="14"/>
        <v>-55</v>
      </c>
      <c r="L281" t="str">
        <f t="shared" si="15"/>
        <v>-6,7</v>
      </c>
      <c r="N281" s="2">
        <v>-2</v>
      </c>
      <c r="O281" s="2">
        <v>-55</v>
      </c>
      <c r="P281" s="2">
        <v>-6.7</v>
      </c>
    </row>
    <row r="282" spans="1:16" x14ac:dyDescent="0.25">
      <c r="A282" s="1">
        <v>44843</v>
      </c>
      <c r="B282">
        <v>12</v>
      </c>
      <c r="C282">
        <v>45</v>
      </c>
      <c r="D282">
        <v>22.4</v>
      </c>
      <c r="E282" s="2" t="s">
        <v>0</v>
      </c>
      <c r="F282">
        <v>3</v>
      </c>
      <c r="G282">
        <v>25</v>
      </c>
      <c r="H282">
        <v>8.6</v>
      </c>
      <c r="J282" t="str">
        <f t="shared" si="13"/>
        <v>-3</v>
      </c>
      <c r="K282" t="str">
        <f t="shared" si="14"/>
        <v>-25</v>
      </c>
      <c r="L282" t="str">
        <f t="shared" si="15"/>
        <v>-8,6</v>
      </c>
      <c r="N282" s="2">
        <v>-3</v>
      </c>
      <c r="O282" s="2">
        <v>-25</v>
      </c>
      <c r="P282" s="2">
        <v>-8.6</v>
      </c>
    </row>
    <row r="283" spans="1:16" x14ac:dyDescent="0.25">
      <c r="A283" s="1">
        <v>44844</v>
      </c>
      <c r="B283">
        <v>12</v>
      </c>
      <c r="C283">
        <v>49</v>
      </c>
      <c r="D283">
        <v>57.74</v>
      </c>
      <c r="E283" s="2" t="s">
        <v>0</v>
      </c>
      <c r="F283">
        <v>3</v>
      </c>
      <c r="G283">
        <v>55</v>
      </c>
      <c r="H283">
        <v>7.2</v>
      </c>
      <c r="J283" t="str">
        <f t="shared" si="13"/>
        <v>-3</v>
      </c>
      <c r="K283" t="str">
        <f t="shared" si="14"/>
        <v>-55</v>
      </c>
      <c r="L283" t="str">
        <f t="shared" si="15"/>
        <v>-7,2</v>
      </c>
      <c r="N283" s="2">
        <v>-3</v>
      </c>
      <c r="O283" s="2">
        <v>-55</v>
      </c>
      <c r="P283" s="2">
        <v>-7.2</v>
      </c>
    </row>
    <row r="284" spans="1:16" x14ac:dyDescent="0.25">
      <c r="A284" s="1">
        <v>44845</v>
      </c>
      <c r="B284">
        <v>12</v>
      </c>
      <c r="C284">
        <v>54</v>
      </c>
      <c r="D284">
        <v>33.44</v>
      </c>
      <c r="E284" s="2" t="s">
        <v>0</v>
      </c>
      <c r="F284">
        <v>4</v>
      </c>
      <c r="G284">
        <v>25</v>
      </c>
      <c r="H284">
        <v>1.8</v>
      </c>
      <c r="J284" t="str">
        <f t="shared" si="13"/>
        <v>-4</v>
      </c>
      <c r="K284" t="str">
        <f t="shared" si="14"/>
        <v>-25</v>
      </c>
      <c r="L284" t="str">
        <f t="shared" si="15"/>
        <v>-1,8</v>
      </c>
      <c r="N284" s="2">
        <v>-4</v>
      </c>
      <c r="O284" s="2">
        <v>-25</v>
      </c>
      <c r="P284" s="2">
        <v>-1.8</v>
      </c>
    </row>
    <row r="285" spans="1:16" x14ac:dyDescent="0.25">
      <c r="A285" s="1">
        <v>44846</v>
      </c>
      <c r="B285">
        <v>12</v>
      </c>
      <c r="C285">
        <v>59</v>
      </c>
      <c r="D285">
        <v>9.5399999999999991</v>
      </c>
      <c r="E285" s="2" t="s">
        <v>0</v>
      </c>
      <c r="F285">
        <v>4</v>
      </c>
      <c r="G285">
        <v>54</v>
      </c>
      <c r="H285">
        <v>51.6</v>
      </c>
      <c r="J285" t="str">
        <f t="shared" si="13"/>
        <v>-4</v>
      </c>
      <c r="K285" t="str">
        <f t="shared" si="14"/>
        <v>-54</v>
      </c>
      <c r="L285" t="str">
        <f t="shared" si="15"/>
        <v>-51,6</v>
      </c>
      <c r="N285" s="2">
        <v>-4</v>
      </c>
      <c r="O285" s="2">
        <v>-54</v>
      </c>
      <c r="P285" s="2">
        <v>-51.6</v>
      </c>
    </row>
    <row r="286" spans="1:16" x14ac:dyDescent="0.25">
      <c r="A286" s="1">
        <v>44847</v>
      </c>
      <c r="B286">
        <v>13</v>
      </c>
      <c r="C286">
        <v>3</v>
      </c>
      <c r="D286">
        <v>46.07</v>
      </c>
      <c r="E286" s="2" t="s">
        <v>0</v>
      </c>
      <c r="F286">
        <v>5</v>
      </c>
      <c r="G286">
        <v>24</v>
      </c>
      <c r="H286">
        <v>35.799999999999997</v>
      </c>
      <c r="J286" t="str">
        <f t="shared" si="13"/>
        <v>-5</v>
      </c>
      <c r="K286" t="str">
        <f t="shared" si="14"/>
        <v>-24</v>
      </c>
      <c r="L286" t="str">
        <f t="shared" si="15"/>
        <v>-35,8</v>
      </c>
      <c r="N286" s="2">
        <v>-5</v>
      </c>
      <c r="O286" s="2">
        <v>-24</v>
      </c>
      <c r="P286" s="2">
        <v>-35.799999999999997</v>
      </c>
    </row>
    <row r="287" spans="1:16" x14ac:dyDescent="0.25">
      <c r="A287" s="1">
        <v>44848</v>
      </c>
      <c r="B287">
        <v>13</v>
      </c>
      <c r="C287">
        <v>8</v>
      </c>
      <c r="D287">
        <v>23.08</v>
      </c>
      <c r="E287" s="2" t="s">
        <v>0</v>
      </c>
      <c r="F287">
        <v>5</v>
      </c>
      <c r="G287">
        <v>54</v>
      </c>
      <c r="H287">
        <v>13.8</v>
      </c>
      <c r="J287" t="str">
        <f t="shared" si="13"/>
        <v>-5</v>
      </c>
      <c r="K287" t="str">
        <f t="shared" si="14"/>
        <v>-54</v>
      </c>
      <c r="L287" t="str">
        <f t="shared" si="15"/>
        <v>-13,8</v>
      </c>
      <c r="N287" s="2">
        <v>-5</v>
      </c>
      <c r="O287" s="2">
        <v>-54</v>
      </c>
      <c r="P287" s="2">
        <v>-13.8</v>
      </c>
    </row>
    <row r="288" spans="1:16" x14ac:dyDescent="0.25">
      <c r="A288" s="1">
        <v>44849</v>
      </c>
      <c r="B288">
        <v>13</v>
      </c>
      <c r="C288">
        <v>13</v>
      </c>
      <c r="D288">
        <v>0.61</v>
      </c>
      <c r="E288" s="2" t="s">
        <v>0</v>
      </c>
      <c r="F288">
        <v>6</v>
      </c>
      <c r="G288">
        <v>23</v>
      </c>
      <c r="H288">
        <v>44.7</v>
      </c>
      <c r="J288" t="str">
        <f t="shared" si="13"/>
        <v>-6</v>
      </c>
      <c r="K288" t="str">
        <f t="shared" si="14"/>
        <v>-23</v>
      </c>
      <c r="L288" t="str">
        <f t="shared" si="15"/>
        <v>-44,7</v>
      </c>
      <c r="N288" s="2">
        <v>-6</v>
      </c>
      <c r="O288" s="2">
        <v>-23</v>
      </c>
      <c r="P288" s="2">
        <v>-44.7</v>
      </c>
    </row>
    <row r="289" spans="1:16" x14ac:dyDescent="0.25">
      <c r="A289" s="1">
        <v>44850</v>
      </c>
      <c r="B289">
        <v>13</v>
      </c>
      <c r="C289">
        <v>17</v>
      </c>
      <c r="D289">
        <v>38.71</v>
      </c>
      <c r="E289" s="2" t="s">
        <v>0</v>
      </c>
      <c r="F289">
        <v>6</v>
      </c>
      <c r="G289">
        <v>53</v>
      </c>
      <c r="H289">
        <v>7.9</v>
      </c>
      <c r="J289" t="str">
        <f t="shared" si="13"/>
        <v>-6</v>
      </c>
      <c r="K289" t="str">
        <f t="shared" si="14"/>
        <v>-53</v>
      </c>
      <c r="L289" t="str">
        <f t="shared" si="15"/>
        <v>-7,9</v>
      </c>
      <c r="N289" s="2">
        <v>-6</v>
      </c>
      <c r="O289" s="2">
        <v>-53</v>
      </c>
      <c r="P289" s="2">
        <v>-7.9</v>
      </c>
    </row>
    <row r="290" spans="1:16" x14ac:dyDescent="0.25">
      <c r="A290" s="1">
        <v>44851</v>
      </c>
      <c r="B290">
        <v>13</v>
      </c>
      <c r="C290">
        <v>22</v>
      </c>
      <c r="D290">
        <v>17.399999999999999</v>
      </c>
      <c r="E290" s="2" t="s">
        <v>0</v>
      </c>
      <c r="F290">
        <v>7</v>
      </c>
      <c r="G290">
        <v>22</v>
      </c>
      <c r="H290">
        <v>22.5</v>
      </c>
      <c r="J290" t="str">
        <f t="shared" si="13"/>
        <v>-7</v>
      </c>
      <c r="K290" t="str">
        <f t="shared" si="14"/>
        <v>-22</v>
      </c>
      <c r="L290" t="str">
        <f t="shared" si="15"/>
        <v>-22,5</v>
      </c>
      <c r="N290" s="2">
        <v>-7</v>
      </c>
      <c r="O290" s="2">
        <v>-22</v>
      </c>
      <c r="P290" s="2">
        <v>-22.5</v>
      </c>
    </row>
    <row r="291" spans="1:16" x14ac:dyDescent="0.25">
      <c r="A291" s="1">
        <v>44852</v>
      </c>
      <c r="B291">
        <v>13</v>
      </c>
      <c r="C291">
        <v>26</v>
      </c>
      <c r="D291">
        <v>56.73</v>
      </c>
      <c r="E291" s="2" t="s">
        <v>0</v>
      </c>
      <c r="F291">
        <v>7</v>
      </c>
      <c r="G291">
        <v>51</v>
      </c>
      <c r="H291">
        <v>27.7</v>
      </c>
      <c r="J291" t="str">
        <f t="shared" si="13"/>
        <v>-7</v>
      </c>
      <c r="K291" t="str">
        <f t="shared" si="14"/>
        <v>-51</v>
      </c>
      <c r="L291" t="str">
        <f t="shared" si="15"/>
        <v>-27,7</v>
      </c>
      <c r="N291" s="2">
        <v>-7</v>
      </c>
      <c r="O291" s="2">
        <v>-51</v>
      </c>
      <c r="P291" s="2">
        <v>-27.7</v>
      </c>
    </row>
    <row r="292" spans="1:16" x14ac:dyDescent="0.25">
      <c r="A292" s="1">
        <v>44853</v>
      </c>
      <c r="B292">
        <v>13</v>
      </c>
      <c r="C292">
        <v>31</v>
      </c>
      <c r="D292">
        <v>36.74</v>
      </c>
      <c r="E292" s="2" t="s">
        <v>0</v>
      </c>
      <c r="F292">
        <v>8</v>
      </c>
      <c r="G292">
        <v>20</v>
      </c>
      <c r="H292">
        <v>22.8</v>
      </c>
      <c r="J292" t="str">
        <f t="shared" si="13"/>
        <v>-8</v>
      </c>
      <c r="K292" t="str">
        <f t="shared" si="14"/>
        <v>-20</v>
      </c>
      <c r="L292" t="str">
        <f t="shared" si="15"/>
        <v>-22,8</v>
      </c>
      <c r="N292" s="2">
        <v>-8</v>
      </c>
      <c r="O292" s="2">
        <v>-20</v>
      </c>
      <c r="P292" s="2">
        <v>-22.8</v>
      </c>
    </row>
    <row r="293" spans="1:16" x14ac:dyDescent="0.25">
      <c r="A293" s="1">
        <v>44854</v>
      </c>
      <c r="B293">
        <v>13</v>
      </c>
      <c r="C293">
        <v>36</v>
      </c>
      <c r="D293">
        <v>17.46</v>
      </c>
      <c r="E293" s="2" t="s">
        <v>0</v>
      </c>
      <c r="F293">
        <v>8</v>
      </c>
      <c r="G293">
        <v>49</v>
      </c>
      <c r="H293">
        <v>7.1</v>
      </c>
      <c r="J293" t="str">
        <f t="shared" si="13"/>
        <v>-8</v>
      </c>
      <c r="K293" t="str">
        <f t="shared" si="14"/>
        <v>-49</v>
      </c>
      <c r="L293" t="str">
        <f t="shared" si="15"/>
        <v>-7,1</v>
      </c>
      <c r="N293" s="2">
        <v>-8</v>
      </c>
      <c r="O293" s="2">
        <v>-49</v>
      </c>
      <c r="P293" s="2">
        <v>-7.1</v>
      </c>
    </row>
    <row r="294" spans="1:16" x14ac:dyDescent="0.25">
      <c r="A294" s="1">
        <v>44855</v>
      </c>
      <c r="B294">
        <v>13</v>
      </c>
      <c r="C294">
        <v>40</v>
      </c>
      <c r="D294">
        <v>58.94</v>
      </c>
      <c r="E294" s="2" t="s">
        <v>0</v>
      </c>
      <c r="F294">
        <v>9</v>
      </c>
      <c r="G294">
        <v>17</v>
      </c>
      <c r="H294">
        <v>39.700000000000003</v>
      </c>
      <c r="J294" t="str">
        <f t="shared" si="13"/>
        <v>-9</v>
      </c>
      <c r="K294" t="str">
        <f t="shared" si="14"/>
        <v>-17</v>
      </c>
      <c r="L294" t="str">
        <f t="shared" si="15"/>
        <v>-39,7</v>
      </c>
      <c r="N294" s="2">
        <v>-9</v>
      </c>
      <c r="O294" s="2">
        <v>-17</v>
      </c>
      <c r="P294" s="2">
        <v>-39.700000000000003</v>
      </c>
    </row>
    <row r="295" spans="1:16" x14ac:dyDescent="0.25">
      <c r="A295" s="1">
        <v>44856</v>
      </c>
      <c r="B295">
        <v>13</v>
      </c>
      <c r="C295">
        <v>45</v>
      </c>
      <c r="D295">
        <v>41.2</v>
      </c>
      <c r="E295" s="2" t="s">
        <v>0</v>
      </c>
      <c r="F295">
        <v>9</v>
      </c>
      <c r="G295">
        <v>45</v>
      </c>
      <c r="H295">
        <v>59.8</v>
      </c>
      <c r="J295" t="str">
        <f t="shared" si="13"/>
        <v>-9</v>
      </c>
      <c r="K295" t="str">
        <f t="shared" si="14"/>
        <v>-45</v>
      </c>
      <c r="L295" t="str">
        <f t="shared" si="15"/>
        <v>-59,8</v>
      </c>
      <c r="N295" s="2">
        <v>-9</v>
      </c>
      <c r="O295" s="2">
        <v>-45</v>
      </c>
      <c r="P295" s="2">
        <v>-59.8</v>
      </c>
    </row>
    <row r="296" spans="1:16" x14ac:dyDescent="0.25">
      <c r="A296" s="1">
        <v>44857</v>
      </c>
      <c r="B296">
        <v>13</v>
      </c>
      <c r="C296">
        <v>50</v>
      </c>
      <c r="D296">
        <v>24.28</v>
      </c>
      <c r="E296" s="2" t="s">
        <v>0</v>
      </c>
      <c r="F296">
        <v>10</v>
      </c>
      <c r="G296">
        <v>14</v>
      </c>
      <c r="H296">
        <v>6.6</v>
      </c>
      <c r="J296" t="str">
        <f t="shared" si="13"/>
        <v>-10</v>
      </c>
      <c r="K296" t="str">
        <f t="shared" si="14"/>
        <v>-14</v>
      </c>
      <c r="L296" t="str">
        <f t="shared" si="15"/>
        <v>-6,6</v>
      </c>
      <c r="N296" s="2">
        <v>-10</v>
      </c>
      <c r="O296" s="2">
        <v>-14</v>
      </c>
      <c r="P296" s="2">
        <v>-6.6</v>
      </c>
    </row>
    <row r="297" spans="1:16" x14ac:dyDescent="0.25">
      <c r="A297" s="1">
        <v>44858</v>
      </c>
      <c r="B297">
        <v>13</v>
      </c>
      <c r="C297">
        <v>55</v>
      </c>
      <c r="D297">
        <v>8.2100000000000009</v>
      </c>
      <c r="E297" s="2" t="s">
        <v>0</v>
      </c>
      <c r="F297">
        <v>10</v>
      </c>
      <c r="G297">
        <v>41</v>
      </c>
      <c r="H297">
        <v>59.4</v>
      </c>
      <c r="J297" t="str">
        <f t="shared" si="13"/>
        <v>-10</v>
      </c>
      <c r="K297" t="str">
        <f t="shared" si="14"/>
        <v>-41</v>
      </c>
      <c r="L297" t="str">
        <f t="shared" si="15"/>
        <v>-59,4</v>
      </c>
      <c r="N297" s="2">
        <v>-10</v>
      </c>
      <c r="O297" s="2">
        <v>-41</v>
      </c>
      <c r="P297" s="2">
        <v>-59.4</v>
      </c>
    </row>
    <row r="298" spans="1:16" x14ac:dyDescent="0.25">
      <c r="A298" s="1">
        <v>44859</v>
      </c>
      <c r="B298">
        <v>13</v>
      </c>
      <c r="C298">
        <v>59</v>
      </c>
      <c r="D298">
        <v>53.03</v>
      </c>
      <c r="E298" s="2" t="s">
        <v>0</v>
      </c>
      <c r="F298">
        <v>11</v>
      </c>
      <c r="G298">
        <v>9</v>
      </c>
      <c r="H298">
        <v>37.299999999999997</v>
      </c>
      <c r="J298" t="str">
        <f t="shared" si="13"/>
        <v>-11</v>
      </c>
      <c r="K298" t="str">
        <f t="shared" si="14"/>
        <v>-9</v>
      </c>
      <c r="L298" t="str">
        <f t="shared" si="15"/>
        <v>-37,3</v>
      </c>
      <c r="N298" s="2">
        <v>-11</v>
      </c>
      <c r="O298" s="2">
        <v>-9</v>
      </c>
      <c r="P298" s="2">
        <v>-37.299999999999997</v>
      </c>
    </row>
    <row r="299" spans="1:16" x14ac:dyDescent="0.25">
      <c r="A299" s="1">
        <v>44860</v>
      </c>
      <c r="B299">
        <v>14</v>
      </c>
      <c r="C299">
        <v>4</v>
      </c>
      <c r="D299">
        <v>38.770000000000003</v>
      </c>
      <c r="E299" s="2" t="s">
        <v>0</v>
      </c>
      <c r="F299">
        <v>11</v>
      </c>
      <c r="G299">
        <v>36</v>
      </c>
      <c r="H299">
        <v>59.6</v>
      </c>
      <c r="J299" t="str">
        <f t="shared" si="13"/>
        <v>-11</v>
      </c>
      <c r="K299" t="str">
        <f t="shared" si="14"/>
        <v>-36</v>
      </c>
      <c r="L299" t="str">
        <f t="shared" si="15"/>
        <v>-59,6</v>
      </c>
      <c r="N299" s="2">
        <v>-11</v>
      </c>
      <c r="O299" s="2">
        <v>-36</v>
      </c>
      <c r="P299" s="2">
        <v>-59.6</v>
      </c>
    </row>
    <row r="300" spans="1:16" x14ac:dyDescent="0.25">
      <c r="A300" s="1">
        <v>44861</v>
      </c>
      <c r="B300">
        <v>14</v>
      </c>
      <c r="C300">
        <v>9</v>
      </c>
      <c r="D300">
        <v>25.45</v>
      </c>
      <c r="E300" s="2" t="s">
        <v>0</v>
      </c>
      <c r="F300">
        <v>12</v>
      </c>
      <c r="G300">
        <v>4</v>
      </c>
      <c r="H300">
        <v>5.3</v>
      </c>
      <c r="J300" t="str">
        <f t="shared" si="13"/>
        <v>-12</v>
      </c>
      <c r="K300" t="str">
        <f t="shared" si="14"/>
        <v>-4</v>
      </c>
      <c r="L300" t="str">
        <f t="shared" si="15"/>
        <v>-5,3</v>
      </c>
      <c r="N300" s="2">
        <v>-12</v>
      </c>
      <c r="O300" s="2">
        <v>-4</v>
      </c>
      <c r="P300" s="2">
        <v>-5.3</v>
      </c>
    </row>
    <row r="301" spans="1:16" x14ac:dyDescent="0.25">
      <c r="A301" s="1">
        <v>44862</v>
      </c>
      <c r="B301">
        <v>14</v>
      </c>
      <c r="C301">
        <v>14</v>
      </c>
      <c r="D301">
        <v>13.1</v>
      </c>
      <c r="E301" s="2" t="s">
        <v>0</v>
      </c>
      <c r="F301">
        <v>12</v>
      </c>
      <c r="G301">
        <v>30</v>
      </c>
      <c r="H301">
        <v>53.8</v>
      </c>
      <c r="J301" t="str">
        <f t="shared" si="13"/>
        <v>-12</v>
      </c>
      <c r="K301" t="str">
        <f t="shared" si="14"/>
        <v>-30</v>
      </c>
      <c r="L301" t="str">
        <f t="shared" si="15"/>
        <v>-53,8</v>
      </c>
      <c r="N301" s="2">
        <v>-12</v>
      </c>
      <c r="O301" s="2">
        <v>-30</v>
      </c>
      <c r="P301" s="2">
        <v>-53.8</v>
      </c>
    </row>
    <row r="302" spans="1:16" x14ac:dyDescent="0.25">
      <c r="A302" s="1">
        <v>44863</v>
      </c>
      <c r="B302">
        <v>14</v>
      </c>
      <c r="C302">
        <v>19</v>
      </c>
      <c r="D302">
        <v>1.75</v>
      </c>
      <c r="E302" s="2" t="s">
        <v>0</v>
      </c>
      <c r="F302">
        <v>12</v>
      </c>
      <c r="G302">
        <v>57</v>
      </c>
      <c r="H302">
        <v>24.1</v>
      </c>
      <c r="J302" t="str">
        <f t="shared" si="13"/>
        <v>-12</v>
      </c>
      <c r="K302" t="str">
        <f t="shared" si="14"/>
        <v>-57</v>
      </c>
      <c r="L302" t="str">
        <f t="shared" si="15"/>
        <v>-24,1</v>
      </c>
      <c r="N302" s="2">
        <v>-12</v>
      </c>
      <c r="O302" s="2">
        <v>-57</v>
      </c>
      <c r="P302" s="2">
        <v>-24.1</v>
      </c>
    </row>
    <row r="303" spans="1:16" x14ac:dyDescent="0.25">
      <c r="A303" s="1">
        <v>44864</v>
      </c>
      <c r="B303">
        <v>14</v>
      </c>
      <c r="C303">
        <v>23</v>
      </c>
      <c r="D303">
        <v>51.42</v>
      </c>
      <c r="E303" s="2" t="s">
        <v>0</v>
      </c>
      <c r="F303">
        <v>13</v>
      </c>
      <c r="G303">
        <v>23</v>
      </c>
      <c r="H303">
        <v>35.4</v>
      </c>
      <c r="J303" t="str">
        <f t="shared" si="13"/>
        <v>-13</v>
      </c>
      <c r="K303" t="str">
        <f t="shared" si="14"/>
        <v>-23</v>
      </c>
      <c r="L303" t="str">
        <f t="shared" si="15"/>
        <v>-35,4</v>
      </c>
      <c r="N303" s="2">
        <v>-13</v>
      </c>
      <c r="O303" s="2">
        <v>-23</v>
      </c>
      <c r="P303" s="2">
        <v>-35.4</v>
      </c>
    </row>
    <row r="304" spans="1:16" x14ac:dyDescent="0.25">
      <c r="A304" s="1">
        <v>44865</v>
      </c>
      <c r="B304">
        <v>14</v>
      </c>
      <c r="C304">
        <v>28</v>
      </c>
      <c r="D304">
        <v>42.14</v>
      </c>
      <c r="E304" s="2" t="s">
        <v>0</v>
      </c>
      <c r="F304">
        <v>13</v>
      </c>
      <c r="G304">
        <v>49</v>
      </c>
      <c r="H304">
        <v>27.1</v>
      </c>
      <c r="J304" t="str">
        <f t="shared" si="13"/>
        <v>-13</v>
      </c>
      <c r="K304" t="str">
        <f t="shared" si="14"/>
        <v>-49</v>
      </c>
      <c r="L304" t="str">
        <f t="shared" si="15"/>
        <v>-27,1</v>
      </c>
      <c r="N304" s="2">
        <v>-13</v>
      </c>
      <c r="O304" s="2">
        <v>-49</v>
      </c>
      <c r="P304" s="2">
        <v>-27.1</v>
      </c>
    </row>
    <row r="305" spans="1:16" x14ac:dyDescent="0.25">
      <c r="A305" s="1">
        <v>44866</v>
      </c>
      <c r="B305">
        <v>14</v>
      </c>
      <c r="C305">
        <v>33</v>
      </c>
      <c r="D305">
        <v>33.94</v>
      </c>
      <c r="E305" s="2" t="s">
        <v>0</v>
      </c>
      <c r="F305">
        <v>14</v>
      </c>
      <c r="G305">
        <v>14</v>
      </c>
      <c r="H305">
        <v>58.1</v>
      </c>
      <c r="J305" t="str">
        <f t="shared" si="13"/>
        <v>-14</v>
      </c>
      <c r="K305" t="str">
        <f t="shared" si="14"/>
        <v>-14</v>
      </c>
      <c r="L305" t="str">
        <f t="shared" si="15"/>
        <v>-58,1</v>
      </c>
      <c r="N305" s="2">
        <v>-14</v>
      </c>
      <c r="O305" s="2">
        <v>-14</v>
      </c>
      <c r="P305" s="2">
        <v>-58.1</v>
      </c>
    </row>
    <row r="306" spans="1:16" x14ac:dyDescent="0.25">
      <c r="A306" s="1">
        <v>44867</v>
      </c>
      <c r="B306">
        <v>14</v>
      </c>
      <c r="C306">
        <v>38</v>
      </c>
      <c r="D306">
        <v>26.83</v>
      </c>
      <c r="E306" s="2" t="s">
        <v>0</v>
      </c>
      <c r="F306">
        <v>14</v>
      </c>
      <c r="G306">
        <v>40</v>
      </c>
      <c r="H306">
        <v>7.8</v>
      </c>
      <c r="J306" t="str">
        <f t="shared" si="13"/>
        <v>-14</v>
      </c>
      <c r="K306" t="str">
        <f t="shared" si="14"/>
        <v>-40</v>
      </c>
      <c r="L306" t="str">
        <f t="shared" si="15"/>
        <v>-7,8</v>
      </c>
      <c r="N306" s="2">
        <v>-14</v>
      </c>
      <c r="O306" s="2">
        <v>-40</v>
      </c>
      <c r="P306" s="2">
        <v>-7.8</v>
      </c>
    </row>
    <row r="307" spans="1:16" x14ac:dyDescent="0.25">
      <c r="A307" s="1">
        <v>44868</v>
      </c>
      <c r="B307">
        <v>14</v>
      </c>
      <c r="C307">
        <v>43</v>
      </c>
      <c r="D307">
        <v>20.83</v>
      </c>
      <c r="E307" s="2" t="s">
        <v>0</v>
      </c>
      <c r="F307">
        <v>15</v>
      </c>
      <c r="G307">
        <v>4</v>
      </c>
      <c r="H307">
        <v>55.3</v>
      </c>
      <c r="J307" t="str">
        <f t="shared" si="13"/>
        <v>-15</v>
      </c>
      <c r="K307" t="str">
        <f t="shared" si="14"/>
        <v>-4</v>
      </c>
      <c r="L307" t="str">
        <f t="shared" si="15"/>
        <v>-55,3</v>
      </c>
      <c r="N307" s="2">
        <v>-15</v>
      </c>
      <c r="O307" s="2">
        <v>-4</v>
      </c>
      <c r="P307" s="2">
        <v>-55.3</v>
      </c>
    </row>
    <row r="308" spans="1:16" x14ac:dyDescent="0.25">
      <c r="A308" s="1">
        <v>44869</v>
      </c>
      <c r="B308">
        <v>14</v>
      </c>
      <c r="C308">
        <v>48</v>
      </c>
      <c r="D308">
        <v>15.97</v>
      </c>
      <c r="E308" s="2" t="s">
        <v>0</v>
      </c>
      <c r="F308">
        <v>15</v>
      </c>
      <c r="G308">
        <v>29</v>
      </c>
      <c r="H308">
        <v>19.899999999999999</v>
      </c>
      <c r="J308" t="str">
        <f t="shared" si="13"/>
        <v>-15</v>
      </c>
      <c r="K308" t="str">
        <f t="shared" si="14"/>
        <v>-29</v>
      </c>
      <c r="L308" t="str">
        <f t="shared" si="15"/>
        <v>-19,9</v>
      </c>
      <c r="N308" s="2">
        <v>-15</v>
      </c>
      <c r="O308" s="2">
        <v>-29</v>
      </c>
      <c r="P308" s="2">
        <v>-19.899999999999999</v>
      </c>
    </row>
    <row r="309" spans="1:16" x14ac:dyDescent="0.25">
      <c r="A309" s="1">
        <v>44870</v>
      </c>
      <c r="B309">
        <v>14</v>
      </c>
      <c r="C309">
        <v>53</v>
      </c>
      <c r="D309">
        <v>12.27</v>
      </c>
      <c r="E309" s="2" t="s">
        <v>0</v>
      </c>
      <c r="F309">
        <v>15</v>
      </c>
      <c r="G309">
        <v>53</v>
      </c>
      <c r="H309">
        <v>20.7</v>
      </c>
      <c r="J309" t="str">
        <f t="shared" si="13"/>
        <v>-15</v>
      </c>
      <c r="K309" t="str">
        <f t="shared" si="14"/>
        <v>-53</v>
      </c>
      <c r="L309" t="str">
        <f t="shared" si="15"/>
        <v>-20,7</v>
      </c>
      <c r="N309" s="2">
        <v>-15</v>
      </c>
      <c r="O309" s="2">
        <v>-53</v>
      </c>
      <c r="P309" s="2">
        <v>-20.7</v>
      </c>
    </row>
    <row r="310" spans="1:16" x14ac:dyDescent="0.25">
      <c r="A310" s="1">
        <v>44871</v>
      </c>
      <c r="B310">
        <v>14</v>
      </c>
      <c r="C310">
        <v>58</v>
      </c>
      <c r="D310">
        <v>9.74</v>
      </c>
      <c r="E310" s="2" t="s">
        <v>0</v>
      </c>
      <c r="F310">
        <v>16</v>
      </c>
      <c r="G310">
        <v>16</v>
      </c>
      <c r="H310">
        <v>56.9</v>
      </c>
      <c r="J310" t="str">
        <f t="shared" si="13"/>
        <v>-16</v>
      </c>
      <c r="K310" t="str">
        <f t="shared" si="14"/>
        <v>-16</v>
      </c>
      <c r="L310" t="str">
        <f t="shared" si="15"/>
        <v>-56,9</v>
      </c>
      <c r="N310" s="2">
        <v>-16</v>
      </c>
      <c r="O310" s="2">
        <v>-16</v>
      </c>
      <c r="P310" s="2">
        <v>-56.9</v>
      </c>
    </row>
    <row r="311" spans="1:16" x14ac:dyDescent="0.25">
      <c r="A311" s="1">
        <v>44872</v>
      </c>
      <c r="B311">
        <v>15</v>
      </c>
      <c r="C311">
        <v>3</v>
      </c>
      <c r="D311">
        <v>8.4</v>
      </c>
      <c r="E311" s="2" t="s">
        <v>0</v>
      </c>
      <c r="F311">
        <v>16</v>
      </c>
      <c r="G311">
        <v>40</v>
      </c>
      <c r="H311">
        <v>7.9</v>
      </c>
      <c r="J311" t="str">
        <f t="shared" si="13"/>
        <v>-16</v>
      </c>
      <c r="K311" t="str">
        <f t="shared" si="14"/>
        <v>-40</v>
      </c>
      <c r="L311" t="str">
        <f t="shared" si="15"/>
        <v>-7,9</v>
      </c>
      <c r="N311" s="2">
        <v>-16</v>
      </c>
      <c r="O311" s="2">
        <v>-40</v>
      </c>
      <c r="P311" s="2">
        <v>-7.9</v>
      </c>
    </row>
    <row r="312" spans="1:16" x14ac:dyDescent="0.25">
      <c r="A312" s="1">
        <v>44873</v>
      </c>
      <c r="B312">
        <v>15</v>
      </c>
      <c r="C312">
        <v>8</v>
      </c>
      <c r="D312">
        <v>8.26</v>
      </c>
      <c r="E312" s="2" t="s">
        <v>0</v>
      </c>
      <c r="F312">
        <v>17</v>
      </c>
      <c r="G312">
        <v>2</v>
      </c>
      <c r="H312">
        <v>52.7</v>
      </c>
      <c r="J312" t="str">
        <f t="shared" si="13"/>
        <v>-17</v>
      </c>
      <c r="K312" t="str">
        <f t="shared" si="14"/>
        <v>-2</v>
      </c>
      <c r="L312" t="str">
        <f t="shared" si="15"/>
        <v>-52,7</v>
      </c>
      <c r="N312" s="2">
        <v>-17</v>
      </c>
      <c r="O312" s="2">
        <v>-2</v>
      </c>
      <c r="P312" s="2">
        <v>-52.7</v>
      </c>
    </row>
    <row r="313" spans="1:16" x14ac:dyDescent="0.25">
      <c r="A313" s="1">
        <v>44874</v>
      </c>
      <c r="B313">
        <v>15</v>
      </c>
      <c r="C313">
        <v>13</v>
      </c>
      <c r="D313">
        <v>9.33</v>
      </c>
      <c r="E313" s="2" t="s">
        <v>0</v>
      </c>
      <c r="F313">
        <v>17</v>
      </c>
      <c r="G313">
        <v>25</v>
      </c>
      <c r="H313">
        <v>10.6</v>
      </c>
      <c r="J313" t="str">
        <f t="shared" si="13"/>
        <v>-17</v>
      </c>
      <c r="K313" t="str">
        <f t="shared" si="14"/>
        <v>-25</v>
      </c>
      <c r="L313" t="str">
        <f t="shared" si="15"/>
        <v>-10,6</v>
      </c>
      <c r="N313" s="2">
        <v>-17</v>
      </c>
      <c r="O313" s="2">
        <v>-25</v>
      </c>
      <c r="P313" s="2">
        <v>-10.6</v>
      </c>
    </row>
    <row r="314" spans="1:16" x14ac:dyDescent="0.25">
      <c r="A314" s="1">
        <v>44875</v>
      </c>
      <c r="B314">
        <v>15</v>
      </c>
      <c r="C314">
        <v>18</v>
      </c>
      <c r="D314">
        <v>11.63</v>
      </c>
      <c r="E314" s="2" t="s">
        <v>0</v>
      </c>
      <c r="F314">
        <v>17</v>
      </c>
      <c r="G314">
        <v>47</v>
      </c>
      <c r="H314">
        <v>0.8</v>
      </c>
      <c r="J314" t="str">
        <f t="shared" si="13"/>
        <v>-17</v>
      </c>
      <c r="K314" t="str">
        <f t="shared" si="14"/>
        <v>-47</v>
      </c>
      <c r="L314" t="str">
        <f t="shared" si="15"/>
        <v>-0,8</v>
      </c>
      <c r="N314" s="2">
        <v>-17</v>
      </c>
      <c r="O314" s="2">
        <v>-47</v>
      </c>
      <c r="P314" s="2">
        <v>-0.8</v>
      </c>
    </row>
    <row r="315" spans="1:16" x14ac:dyDescent="0.25">
      <c r="A315" s="1">
        <v>44876</v>
      </c>
      <c r="B315">
        <v>15</v>
      </c>
      <c r="C315">
        <v>23</v>
      </c>
      <c r="D315">
        <v>15.16</v>
      </c>
      <c r="E315" s="2" t="s">
        <v>0</v>
      </c>
      <c r="F315">
        <v>18</v>
      </c>
      <c r="G315">
        <v>8</v>
      </c>
      <c r="H315">
        <v>22.6</v>
      </c>
      <c r="J315" t="str">
        <f t="shared" si="13"/>
        <v>-18</v>
      </c>
      <c r="K315" t="str">
        <f t="shared" si="14"/>
        <v>-8</v>
      </c>
      <c r="L315" t="str">
        <f t="shared" si="15"/>
        <v>-22,6</v>
      </c>
      <c r="N315" s="2">
        <v>-18</v>
      </c>
      <c r="O315" s="2">
        <v>-8</v>
      </c>
      <c r="P315" s="2">
        <v>-22.6</v>
      </c>
    </row>
    <row r="316" spans="1:16" x14ac:dyDescent="0.25">
      <c r="A316" s="1">
        <v>44877</v>
      </c>
      <c r="B316">
        <v>15</v>
      </c>
      <c r="C316">
        <v>28</v>
      </c>
      <c r="D316">
        <v>19.93</v>
      </c>
      <c r="E316" s="2" t="s">
        <v>0</v>
      </c>
      <c r="F316">
        <v>18</v>
      </c>
      <c r="G316">
        <v>29</v>
      </c>
      <c r="H316">
        <v>15.2</v>
      </c>
      <c r="J316" t="str">
        <f t="shared" si="13"/>
        <v>-18</v>
      </c>
      <c r="K316" t="str">
        <f t="shared" si="14"/>
        <v>-29</v>
      </c>
      <c r="L316" t="str">
        <f t="shared" si="15"/>
        <v>-15,2</v>
      </c>
      <c r="N316" s="2">
        <v>-18</v>
      </c>
      <c r="O316" s="2">
        <v>-29</v>
      </c>
      <c r="P316" s="2">
        <v>-15.2</v>
      </c>
    </row>
    <row r="317" spans="1:16" x14ac:dyDescent="0.25">
      <c r="A317" s="1">
        <v>44878</v>
      </c>
      <c r="B317">
        <v>15</v>
      </c>
      <c r="C317">
        <v>33</v>
      </c>
      <c r="D317">
        <v>25.93</v>
      </c>
      <c r="E317" s="2" t="s">
        <v>0</v>
      </c>
      <c r="F317">
        <v>18</v>
      </c>
      <c r="G317">
        <v>49</v>
      </c>
      <c r="H317">
        <v>37.799999999999997</v>
      </c>
      <c r="J317" t="str">
        <f t="shared" si="13"/>
        <v>-18</v>
      </c>
      <c r="K317" t="str">
        <f t="shared" si="14"/>
        <v>-49</v>
      </c>
      <c r="L317" t="str">
        <f t="shared" si="15"/>
        <v>-37,8</v>
      </c>
      <c r="N317" s="2">
        <v>-18</v>
      </c>
      <c r="O317" s="2">
        <v>-49</v>
      </c>
      <c r="P317" s="2">
        <v>-37.799999999999997</v>
      </c>
    </row>
    <row r="318" spans="1:16" x14ac:dyDescent="0.25">
      <c r="A318" s="1">
        <v>44879</v>
      </c>
      <c r="B318">
        <v>15</v>
      </c>
      <c r="C318">
        <v>38</v>
      </c>
      <c r="D318">
        <v>33.17</v>
      </c>
      <c r="E318" s="2" t="s">
        <v>0</v>
      </c>
      <c r="F318">
        <v>19</v>
      </c>
      <c r="G318">
        <v>9</v>
      </c>
      <c r="H318">
        <v>29.7</v>
      </c>
      <c r="J318" t="str">
        <f t="shared" si="13"/>
        <v>-19</v>
      </c>
      <c r="K318" t="str">
        <f t="shared" si="14"/>
        <v>-9</v>
      </c>
      <c r="L318" t="str">
        <f t="shared" si="15"/>
        <v>-29,7</v>
      </c>
      <c r="N318" s="2">
        <v>-19</v>
      </c>
      <c r="O318" s="2">
        <v>-9</v>
      </c>
      <c r="P318" s="2">
        <v>-29.7</v>
      </c>
    </row>
    <row r="319" spans="1:16" x14ac:dyDescent="0.25">
      <c r="A319" s="1">
        <v>44880</v>
      </c>
      <c r="B319">
        <v>15</v>
      </c>
      <c r="C319">
        <v>43</v>
      </c>
      <c r="D319">
        <v>41.65</v>
      </c>
      <c r="E319" s="2" t="s">
        <v>0</v>
      </c>
      <c r="F319">
        <v>19</v>
      </c>
      <c r="G319">
        <v>28</v>
      </c>
      <c r="H319">
        <v>50</v>
      </c>
      <c r="J319" t="str">
        <f t="shared" si="13"/>
        <v>-19</v>
      </c>
      <c r="K319" t="str">
        <f t="shared" si="14"/>
        <v>-28</v>
      </c>
      <c r="L319" t="str">
        <f t="shared" si="15"/>
        <v>-50</v>
      </c>
      <c r="N319" s="2">
        <v>-19</v>
      </c>
      <c r="O319" s="2">
        <v>-28</v>
      </c>
      <c r="P319" s="2">
        <v>-50</v>
      </c>
    </row>
    <row r="320" spans="1:16" x14ac:dyDescent="0.25">
      <c r="A320" s="1">
        <v>44881</v>
      </c>
      <c r="B320">
        <v>15</v>
      </c>
      <c r="C320">
        <v>48</v>
      </c>
      <c r="D320">
        <v>51.36</v>
      </c>
      <c r="E320" s="2" t="s">
        <v>0</v>
      </c>
      <c r="F320">
        <v>19</v>
      </c>
      <c r="G320">
        <v>47</v>
      </c>
      <c r="H320">
        <v>38.1</v>
      </c>
      <c r="J320" t="str">
        <f t="shared" si="13"/>
        <v>-19</v>
      </c>
      <c r="K320" t="str">
        <f t="shared" si="14"/>
        <v>-47</v>
      </c>
      <c r="L320" t="str">
        <f t="shared" si="15"/>
        <v>-38,1</v>
      </c>
      <c r="N320" s="2">
        <v>-19</v>
      </c>
      <c r="O320" s="2">
        <v>-47</v>
      </c>
      <c r="P320" s="2">
        <v>-38.1</v>
      </c>
    </row>
    <row r="321" spans="1:16" x14ac:dyDescent="0.25">
      <c r="A321" s="1">
        <v>44882</v>
      </c>
      <c r="B321">
        <v>15</v>
      </c>
      <c r="C321">
        <v>54</v>
      </c>
      <c r="D321">
        <v>2.2799999999999998</v>
      </c>
      <c r="E321" s="2" t="s">
        <v>0</v>
      </c>
      <c r="F321">
        <v>20</v>
      </c>
      <c r="G321">
        <v>5</v>
      </c>
      <c r="H321">
        <v>53.3</v>
      </c>
      <c r="J321" t="str">
        <f t="shared" si="13"/>
        <v>-20</v>
      </c>
      <c r="K321" t="str">
        <f t="shared" si="14"/>
        <v>-5</v>
      </c>
      <c r="L321" t="str">
        <f t="shared" si="15"/>
        <v>-53,3</v>
      </c>
      <c r="N321" s="2">
        <v>-20</v>
      </c>
      <c r="O321" s="2">
        <v>-5</v>
      </c>
      <c r="P321" s="2">
        <v>-53.3</v>
      </c>
    </row>
    <row r="322" spans="1:16" x14ac:dyDescent="0.25">
      <c r="A322" s="1">
        <v>44883</v>
      </c>
      <c r="B322">
        <v>15</v>
      </c>
      <c r="C322">
        <v>59</v>
      </c>
      <c r="D322">
        <v>14.41</v>
      </c>
      <c r="E322" s="2" t="s">
        <v>0</v>
      </c>
      <c r="F322">
        <v>20</v>
      </c>
      <c r="G322">
        <v>23</v>
      </c>
      <c r="H322">
        <v>34.700000000000003</v>
      </c>
      <c r="J322" t="str">
        <f t="shared" ref="J322:J365" si="16">$E322&amp;F322</f>
        <v>-20</v>
      </c>
      <c r="K322" t="str">
        <f t="shared" ref="K322:K365" si="17">$E322&amp;G322</f>
        <v>-23</v>
      </c>
      <c r="L322" t="str">
        <f t="shared" ref="L322:L365" si="18">$E322&amp;H322</f>
        <v>-34,7</v>
      </c>
      <c r="N322" s="2">
        <v>-20</v>
      </c>
      <c r="O322" s="2">
        <v>-23</v>
      </c>
      <c r="P322" s="2">
        <v>-34.700000000000003</v>
      </c>
    </row>
    <row r="323" spans="1:16" x14ac:dyDescent="0.25">
      <c r="A323" s="1">
        <v>44884</v>
      </c>
      <c r="B323">
        <v>16</v>
      </c>
      <c r="C323">
        <v>4</v>
      </c>
      <c r="D323">
        <v>27.74</v>
      </c>
      <c r="E323" s="2" t="s">
        <v>0</v>
      </c>
      <c r="F323">
        <v>20</v>
      </c>
      <c r="G323">
        <v>40</v>
      </c>
      <c r="H323">
        <v>41.7</v>
      </c>
      <c r="J323" t="str">
        <f t="shared" si="16"/>
        <v>-20</v>
      </c>
      <c r="K323" t="str">
        <f t="shared" si="17"/>
        <v>-40</v>
      </c>
      <c r="L323" t="str">
        <f t="shared" si="18"/>
        <v>-41,7</v>
      </c>
      <c r="N323" s="2">
        <v>-20</v>
      </c>
      <c r="O323" s="2">
        <v>-40</v>
      </c>
      <c r="P323" s="2">
        <v>-41.7</v>
      </c>
    </row>
    <row r="324" spans="1:16" x14ac:dyDescent="0.25">
      <c r="A324" s="1">
        <v>44885</v>
      </c>
      <c r="B324">
        <v>16</v>
      </c>
      <c r="C324">
        <v>9</v>
      </c>
      <c r="D324">
        <v>42.24</v>
      </c>
      <c r="E324" s="2" t="s">
        <v>0</v>
      </c>
      <c r="F324">
        <v>20</v>
      </c>
      <c r="G324">
        <v>57</v>
      </c>
      <c r="H324">
        <v>13.5</v>
      </c>
      <c r="J324" t="str">
        <f t="shared" si="16"/>
        <v>-20</v>
      </c>
      <c r="K324" t="str">
        <f t="shared" si="17"/>
        <v>-57</v>
      </c>
      <c r="L324" t="str">
        <f t="shared" si="18"/>
        <v>-13,5</v>
      </c>
      <c r="N324" s="2">
        <v>-20</v>
      </c>
      <c r="O324" s="2">
        <v>-57</v>
      </c>
      <c r="P324" s="2">
        <v>-13.5</v>
      </c>
    </row>
    <row r="325" spans="1:16" x14ac:dyDescent="0.25">
      <c r="A325" s="1">
        <v>44886</v>
      </c>
      <c r="B325">
        <v>16</v>
      </c>
      <c r="C325">
        <v>14</v>
      </c>
      <c r="D325">
        <v>57.89</v>
      </c>
      <c r="E325" s="2" t="s">
        <v>0</v>
      </c>
      <c r="F325">
        <v>21</v>
      </c>
      <c r="G325">
        <v>13</v>
      </c>
      <c r="H325">
        <v>9.6</v>
      </c>
      <c r="J325" t="str">
        <f t="shared" si="16"/>
        <v>-21</v>
      </c>
      <c r="K325" t="str">
        <f t="shared" si="17"/>
        <v>-13</v>
      </c>
      <c r="L325" t="str">
        <f t="shared" si="18"/>
        <v>-9,6</v>
      </c>
      <c r="N325" s="2">
        <v>-21</v>
      </c>
      <c r="O325" s="2">
        <v>-13</v>
      </c>
      <c r="P325" s="2">
        <v>-9.6</v>
      </c>
    </row>
    <row r="326" spans="1:16" x14ac:dyDescent="0.25">
      <c r="A326" s="1">
        <v>44887</v>
      </c>
      <c r="B326">
        <v>16</v>
      </c>
      <c r="C326">
        <v>20</v>
      </c>
      <c r="D326">
        <v>14.67</v>
      </c>
      <c r="E326" s="2" t="s">
        <v>0</v>
      </c>
      <c r="F326">
        <v>21</v>
      </c>
      <c r="G326">
        <v>28</v>
      </c>
      <c r="H326">
        <v>29.1</v>
      </c>
      <c r="J326" t="str">
        <f t="shared" si="16"/>
        <v>-21</v>
      </c>
      <c r="K326" t="str">
        <f t="shared" si="17"/>
        <v>-28</v>
      </c>
      <c r="L326" t="str">
        <f t="shared" si="18"/>
        <v>-29,1</v>
      </c>
      <c r="N326" s="2">
        <v>-21</v>
      </c>
      <c r="O326" s="2">
        <v>-28</v>
      </c>
      <c r="P326" s="2">
        <v>-29.1</v>
      </c>
    </row>
    <row r="327" spans="1:16" x14ac:dyDescent="0.25">
      <c r="A327" s="1">
        <v>44888</v>
      </c>
      <c r="B327">
        <v>16</v>
      </c>
      <c r="C327">
        <v>25</v>
      </c>
      <c r="D327">
        <v>32.549999999999997</v>
      </c>
      <c r="E327" s="2" t="s">
        <v>0</v>
      </c>
      <c r="F327">
        <v>21</v>
      </c>
      <c r="G327">
        <v>43</v>
      </c>
      <c r="H327">
        <v>11.5</v>
      </c>
      <c r="J327" t="str">
        <f t="shared" si="16"/>
        <v>-21</v>
      </c>
      <c r="K327" t="str">
        <f t="shared" si="17"/>
        <v>-43</v>
      </c>
      <c r="L327" t="str">
        <f t="shared" si="18"/>
        <v>-11,5</v>
      </c>
      <c r="N327" s="2">
        <v>-21</v>
      </c>
      <c r="O327" s="2">
        <v>-43</v>
      </c>
      <c r="P327" s="2">
        <v>-11.5</v>
      </c>
    </row>
    <row r="328" spans="1:16" x14ac:dyDescent="0.25">
      <c r="A328" s="1">
        <v>44889</v>
      </c>
      <c r="B328">
        <v>16</v>
      </c>
      <c r="C328">
        <v>30</v>
      </c>
      <c r="D328">
        <v>51.5</v>
      </c>
      <c r="E328" s="2" t="s">
        <v>0</v>
      </c>
      <c r="F328">
        <v>21</v>
      </c>
      <c r="G328">
        <v>57</v>
      </c>
      <c r="H328">
        <v>16</v>
      </c>
      <c r="J328" t="str">
        <f t="shared" si="16"/>
        <v>-21</v>
      </c>
      <c r="K328" t="str">
        <f t="shared" si="17"/>
        <v>-57</v>
      </c>
      <c r="L328" t="str">
        <f t="shared" si="18"/>
        <v>-16</v>
      </c>
      <c r="N328" s="2">
        <v>-21</v>
      </c>
      <c r="O328" s="2">
        <v>-57</v>
      </c>
      <c r="P328" s="2">
        <v>-16</v>
      </c>
    </row>
    <row r="329" spans="1:16" x14ac:dyDescent="0.25">
      <c r="A329" s="1">
        <v>44890</v>
      </c>
      <c r="B329">
        <v>16</v>
      </c>
      <c r="C329">
        <v>36</v>
      </c>
      <c r="D329">
        <v>11.49</v>
      </c>
      <c r="E329" s="2" t="s">
        <v>0</v>
      </c>
      <c r="F329">
        <v>22</v>
      </c>
      <c r="G329">
        <v>10</v>
      </c>
      <c r="H329">
        <v>42.1</v>
      </c>
      <c r="J329" t="str">
        <f t="shared" si="16"/>
        <v>-22</v>
      </c>
      <c r="K329" t="str">
        <f t="shared" si="17"/>
        <v>-10</v>
      </c>
      <c r="L329" t="str">
        <f t="shared" si="18"/>
        <v>-42,1</v>
      </c>
      <c r="N329" s="2">
        <v>-22</v>
      </c>
      <c r="O329" s="2">
        <v>-10</v>
      </c>
      <c r="P329" s="2">
        <v>-42.1</v>
      </c>
    </row>
    <row r="330" spans="1:16" x14ac:dyDescent="0.25">
      <c r="A330" s="1">
        <v>44891</v>
      </c>
      <c r="B330">
        <v>16</v>
      </c>
      <c r="C330">
        <v>41</v>
      </c>
      <c r="D330">
        <v>32.47</v>
      </c>
      <c r="E330" s="2" t="s">
        <v>0</v>
      </c>
      <c r="F330">
        <v>22</v>
      </c>
      <c r="G330">
        <v>23</v>
      </c>
      <c r="H330">
        <v>29.2</v>
      </c>
      <c r="J330" t="str">
        <f t="shared" si="16"/>
        <v>-22</v>
      </c>
      <c r="K330" t="str">
        <f t="shared" si="17"/>
        <v>-23</v>
      </c>
      <c r="L330" t="str">
        <f t="shared" si="18"/>
        <v>-29,2</v>
      </c>
      <c r="N330" s="2">
        <v>-22</v>
      </c>
      <c r="O330" s="2">
        <v>-23</v>
      </c>
      <c r="P330" s="2">
        <v>-29.2</v>
      </c>
    </row>
    <row r="331" spans="1:16" x14ac:dyDescent="0.25">
      <c r="A331" s="1">
        <v>44892</v>
      </c>
      <c r="B331">
        <v>16</v>
      </c>
      <c r="C331">
        <v>46</v>
      </c>
      <c r="D331">
        <v>54.4</v>
      </c>
      <c r="E331" s="2" t="s">
        <v>0</v>
      </c>
      <c r="F331">
        <v>22</v>
      </c>
      <c r="G331">
        <v>35</v>
      </c>
      <c r="H331">
        <v>36.6</v>
      </c>
      <c r="J331" t="str">
        <f t="shared" si="16"/>
        <v>-22</v>
      </c>
      <c r="K331" t="str">
        <f t="shared" si="17"/>
        <v>-35</v>
      </c>
      <c r="L331" t="str">
        <f t="shared" si="18"/>
        <v>-36,6</v>
      </c>
      <c r="N331" s="2">
        <v>-22</v>
      </c>
      <c r="O331" s="2">
        <v>-35</v>
      </c>
      <c r="P331" s="2">
        <v>-36.6</v>
      </c>
    </row>
    <row r="332" spans="1:16" x14ac:dyDescent="0.25">
      <c r="A332" s="1">
        <v>44893</v>
      </c>
      <c r="B332">
        <v>16</v>
      </c>
      <c r="C332">
        <v>52</v>
      </c>
      <c r="D332">
        <v>17.25</v>
      </c>
      <c r="E332" s="2" t="s">
        <v>0</v>
      </c>
      <c r="F332">
        <v>22</v>
      </c>
      <c r="G332">
        <v>47</v>
      </c>
      <c r="H332">
        <v>3.9</v>
      </c>
      <c r="J332" t="str">
        <f t="shared" si="16"/>
        <v>-22</v>
      </c>
      <c r="K332" t="str">
        <f t="shared" si="17"/>
        <v>-47</v>
      </c>
      <c r="L332" t="str">
        <f t="shared" si="18"/>
        <v>-3,9</v>
      </c>
      <c r="N332" s="2">
        <v>-22</v>
      </c>
      <c r="O332" s="2">
        <v>-47</v>
      </c>
      <c r="P332" s="2">
        <v>-3.9</v>
      </c>
    </row>
    <row r="333" spans="1:16" x14ac:dyDescent="0.25">
      <c r="A333" s="1">
        <v>44894</v>
      </c>
      <c r="B333">
        <v>16</v>
      </c>
      <c r="C333">
        <v>57</v>
      </c>
      <c r="D333">
        <v>40.96</v>
      </c>
      <c r="E333" s="2" t="s">
        <v>0</v>
      </c>
      <c r="F333">
        <v>22</v>
      </c>
      <c r="G333">
        <v>57</v>
      </c>
      <c r="H333">
        <v>50.4</v>
      </c>
      <c r="J333" t="str">
        <f t="shared" si="16"/>
        <v>-22</v>
      </c>
      <c r="K333" t="str">
        <f t="shared" si="17"/>
        <v>-57</v>
      </c>
      <c r="L333" t="str">
        <f t="shared" si="18"/>
        <v>-50,4</v>
      </c>
      <c r="N333" s="2">
        <v>-22</v>
      </c>
      <c r="O333" s="2">
        <v>-57</v>
      </c>
      <c r="P333" s="2">
        <v>-50.4</v>
      </c>
    </row>
    <row r="334" spans="1:16" x14ac:dyDescent="0.25">
      <c r="A334" s="1">
        <v>44895</v>
      </c>
      <c r="B334">
        <v>17</v>
      </c>
      <c r="C334">
        <v>3</v>
      </c>
      <c r="D334">
        <v>5.5</v>
      </c>
      <c r="E334" s="2" t="s">
        <v>0</v>
      </c>
      <c r="F334">
        <v>23</v>
      </c>
      <c r="G334">
        <v>7</v>
      </c>
      <c r="H334">
        <v>55.7</v>
      </c>
      <c r="J334" t="str">
        <f t="shared" si="16"/>
        <v>-23</v>
      </c>
      <c r="K334" t="str">
        <f t="shared" si="17"/>
        <v>-7</v>
      </c>
      <c r="L334" t="str">
        <f t="shared" si="18"/>
        <v>-55,7</v>
      </c>
      <c r="N334" s="2">
        <v>-23</v>
      </c>
      <c r="O334" s="2">
        <v>-7</v>
      </c>
      <c r="P334" s="2">
        <v>-55.7</v>
      </c>
    </row>
    <row r="335" spans="1:16" x14ac:dyDescent="0.25">
      <c r="A335" s="1">
        <v>44896</v>
      </c>
      <c r="B335">
        <v>17</v>
      </c>
      <c r="C335">
        <v>8</v>
      </c>
      <c r="D335">
        <v>30.8</v>
      </c>
      <c r="E335" s="2" t="s">
        <v>0</v>
      </c>
      <c r="F335">
        <v>23</v>
      </c>
      <c r="G335">
        <v>17</v>
      </c>
      <c r="H335">
        <v>19.399999999999999</v>
      </c>
      <c r="J335" t="str">
        <f t="shared" si="16"/>
        <v>-23</v>
      </c>
      <c r="K335" t="str">
        <f t="shared" si="17"/>
        <v>-17</v>
      </c>
      <c r="L335" t="str">
        <f t="shared" si="18"/>
        <v>-19,4</v>
      </c>
      <c r="N335" s="2">
        <v>-23</v>
      </c>
      <c r="O335" s="2">
        <v>-17</v>
      </c>
      <c r="P335" s="2">
        <v>-19.399999999999999</v>
      </c>
    </row>
    <row r="336" spans="1:16" x14ac:dyDescent="0.25">
      <c r="A336" s="1">
        <v>44897</v>
      </c>
      <c r="B336">
        <v>17</v>
      </c>
      <c r="C336">
        <v>13</v>
      </c>
      <c r="D336">
        <v>56.83</v>
      </c>
      <c r="E336" s="2" t="s">
        <v>0</v>
      </c>
      <c r="F336">
        <v>23</v>
      </c>
      <c r="G336">
        <v>26</v>
      </c>
      <c r="H336">
        <v>0.9</v>
      </c>
      <c r="J336" t="str">
        <f t="shared" si="16"/>
        <v>-23</v>
      </c>
      <c r="K336" t="str">
        <f t="shared" si="17"/>
        <v>-26</v>
      </c>
      <c r="L336" t="str">
        <f t="shared" si="18"/>
        <v>-0,9</v>
      </c>
      <c r="N336" s="2">
        <v>-23</v>
      </c>
      <c r="O336" s="2">
        <v>-26</v>
      </c>
      <c r="P336" s="2">
        <v>-0.9</v>
      </c>
    </row>
    <row r="337" spans="1:16" x14ac:dyDescent="0.25">
      <c r="A337" s="1">
        <v>44898</v>
      </c>
      <c r="B337">
        <v>17</v>
      </c>
      <c r="C337">
        <v>19</v>
      </c>
      <c r="D337">
        <v>23.52</v>
      </c>
      <c r="E337" s="2" t="s">
        <v>0</v>
      </c>
      <c r="F337">
        <v>23</v>
      </c>
      <c r="G337">
        <v>33</v>
      </c>
      <c r="H337">
        <v>59.9</v>
      </c>
      <c r="J337" t="str">
        <f t="shared" si="16"/>
        <v>-23</v>
      </c>
      <c r="K337" t="str">
        <f t="shared" si="17"/>
        <v>-33</v>
      </c>
      <c r="L337" t="str">
        <f t="shared" si="18"/>
        <v>-59,9</v>
      </c>
      <c r="N337" s="2">
        <v>-23</v>
      </c>
      <c r="O337" s="2">
        <v>-33</v>
      </c>
      <c r="P337" s="2">
        <v>-59.9</v>
      </c>
    </row>
    <row r="338" spans="1:16" x14ac:dyDescent="0.25">
      <c r="A338" s="1">
        <v>44899</v>
      </c>
      <c r="B338">
        <v>17</v>
      </c>
      <c r="C338">
        <v>24</v>
      </c>
      <c r="D338">
        <v>50.83</v>
      </c>
      <c r="E338" s="2" t="s">
        <v>0</v>
      </c>
      <c r="F338">
        <v>23</v>
      </c>
      <c r="G338">
        <v>41</v>
      </c>
      <c r="H338">
        <v>16.100000000000001</v>
      </c>
      <c r="J338" t="str">
        <f t="shared" si="16"/>
        <v>-23</v>
      </c>
      <c r="K338" t="str">
        <f t="shared" si="17"/>
        <v>-41</v>
      </c>
      <c r="L338" t="str">
        <f t="shared" si="18"/>
        <v>-16,1</v>
      </c>
      <c r="N338" s="2">
        <v>-23</v>
      </c>
      <c r="O338" s="2">
        <v>-41</v>
      </c>
      <c r="P338" s="2">
        <v>-16.100000000000001</v>
      </c>
    </row>
    <row r="339" spans="1:16" x14ac:dyDescent="0.25">
      <c r="A339" s="1">
        <v>44900</v>
      </c>
      <c r="B339">
        <v>17</v>
      </c>
      <c r="C339">
        <v>30</v>
      </c>
      <c r="D339">
        <v>18.7</v>
      </c>
      <c r="E339" s="2" t="s">
        <v>0</v>
      </c>
      <c r="F339">
        <v>23</v>
      </c>
      <c r="G339">
        <v>47</v>
      </c>
      <c r="H339">
        <v>48.9</v>
      </c>
      <c r="J339" t="str">
        <f t="shared" si="16"/>
        <v>-23</v>
      </c>
      <c r="K339" t="str">
        <f t="shared" si="17"/>
        <v>-47</v>
      </c>
      <c r="L339" t="str">
        <f t="shared" si="18"/>
        <v>-48,9</v>
      </c>
      <c r="N339" s="2">
        <v>-23</v>
      </c>
      <c r="O339" s="2">
        <v>-47</v>
      </c>
      <c r="P339" s="2">
        <v>-48.9</v>
      </c>
    </row>
    <row r="340" spans="1:16" x14ac:dyDescent="0.25">
      <c r="A340" s="1">
        <v>44901</v>
      </c>
      <c r="B340">
        <v>17</v>
      </c>
      <c r="C340">
        <v>35</v>
      </c>
      <c r="D340">
        <v>47.07</v>
      </c>
      <c r="E340" s="2" t="s">
        <v>0</v>
      </c>
      <c r="F340">
        <v>23</v>
      </c>
      <c r="G340">
        <v>53</v>
      </c>
      <c r="H340">
        <v>38.200000000000003</v>
      </c>
      <c r="J340" t="str">
        <f t="shared" si="16"/>
        <v>-23</v>
      </c>
      <c r="K340" t="str">
        <f t="shared" si="17"/>
        <v>-53</v>
      </c>
      <c r="L340" t="str">
        <f t="shared" si="18"/>
        <v>-38,2</v>
      </c>
      <c r="N340" s="2">
        <v>-23</v>
      </c>
      <c r="O340" s="2">
        <v>-53</v>
      </c>
      <c r="P340" s="2">
        <v>-38.200000000000003</v>
      </c>
    </row>
    <row r="341" spans="1:16" x14ac:dyDescent="0.25">
      <c r="A341" s="1">
        <v>44902</v>
      </c>
      <c r="B341">
        <v>17</v>
      </c>
      <c r="C341">
        <v>41</v>
      </c>
      <c r="D341">
        <v>15.88</v>
      </c>
      <c r="E341" s="2" t="s">
        <v>0</v>
      </c>
      <c r="F341">
        <v>23</v>
      </c>
      <c r="G341">
        <v>58</v>
      </c>
      <c r="H341">
        <v>43.6</v>
      </c>
      <c r="J341" t="str">
        <f t="shared" si="16"/>
        <v>-23</v>
      </c>
      <c r="K341" t="str">
        <f t="shared" si="17"/>
        <v>-58</v>
      </c>
      <c r="L341" t="str">
        <f t="shared" si="18"/>
        <v>-43,6</v>
      </c>
      <c r="N341" s="2">
        <v>-23</v>
      </c>
      <c r="O341" s="2">
        <v>-58</v>
      </c>
      <c r="P341" s="2">
        <v>-43.6</v>
      </c>
    </row>
    <row r="342" spans="1:16" x14ac:dyDescent="0.25">
      <c r="A342" s="1">
        <v>44903</v>
      </c>
      <c r="B342">
        <v>17</v>
      </c>
      <c r="C342">
        <v>46</v>
      </c>
      <c r="D342">
        <v>45.08</v>
      </c>
      <c r="E342" s="2" t="s">
        <v>0</v>
      </c>
      <c r="F342">
        <v>24</v>
      </c>
      <c r="G342">
        <v>3</v>
      </c>
      <c r="H342">
        <v>5</v>
      </c>
      <c r="J342" t="str">
        <f t="shared" si="16"/>
        <v>-24</v>
      </c>
      <c r="K342" t="str">
        <f t="shared" si="17"/>
        <v>-3</v>
      </c>
      <c r="L342" t="str">
        <f t="shared" si="18"/>
        <v>-5</v>
      </c>
      <c r="N342" s="2">
        <v>-24</v>
      </c>
      <c r="O342" s="2">
        <v>-3</v>
      </c>
      <c r="P342" s="2">
        <v>-5</v>
      </c>
    </row>
    <row r="343" spans="1:16" x14ac:dyDescent="0.25">
      <c r="A343" s="1">
        <v>44904</v>
      </c>
      <c r="B343">
        <v>17</v>
      </c>
      <c r="C343">
        <v>52</v>
      </c>
      <c r="D343">
        <v>14.61</v>
      </c>
      <c r="E343" s="2" t="s">
        <v>0</v>
      </c>
      <c r="F343">
        <v>24</v>
      </c>
      <c r="G343">
        <v>6</v>
      </c>
      <c r="H343">
        <v>41.9</v>
      </c>
      <c r="J343" t="str">
        <f t="shared" si="16"/>
        <v>-24</v>
      </c>
      <c r="K343" t="str">
        <f t="shared" si="17"/>
        <v>-6</v>
      </c>
      <c r="L343" t="str">
        <f t="shared" si="18"/>
        <v>-41,9</v>
      </c>
      <c r="N343" s="2">
        <v>-24</v>
      </c>
      <c r="O343" s="2">
        <v>-6</v>
      </c>
      <c r="P343" s="2">
        <v>-41.9</v>
      </c>
    </row>
    <row r="344" spans="1:16" x14ac:dyDescent="0.25">
      <c r="A344" s="1">
        <v>44905</v>
      </c>
      <c r="B344">
        <v>17</v>
      </c>
      <c r="C344">
        <v>57</v>
      </c>
      <c r="D344">
        <v>44.4</v>
      </c>
      <c r="E344" s="2" t="s">
        <v>0</v>
      </c>
      <c r="F344">
        <v>24</v>
      </c>
      <c r="G344">
        <v>9</v>
      </c>
      <c r="H344">
        <v>34.4</v>
      </c>
      <c r="J344" t="str">
        <f t="shared" si="16"/>
        <v>-24</v>
      </c>
      <c r="K344" t="str">
        <f t="shared" si="17"/>
        <v>-9</v>
      </c>
      <c r="L344" t="str">
        <f t="shared" si="18"/>
        <v>-34,4</v>
      </c>
      <c r="N344" s="2">
        <v>-24</v>
      </c>
      <c r="O344" s="2">
        <v>-9</v>
      </c>
      <c r="P344" s="2">
        <v>-34.4</v>
      </c>
    </row>
    <row r="345" spans="1:16" x14ac:dyDescent="0.25">
      <c r="A345" s="1">
        <v>44906</v>
      </c>
      <c r="B345">
        <v>18</v>
      </c>
      <c r="C345">
        <v>3</v>
      </c>
      <c r="D345">
        <v>14.39</v>
      </c>
      <c r="E345" s="2" t="s">
        <v>0</v>
      </c>
      <c r="F345">
        <v>24</v>
      </c>
      <c r="G345">
        <v>11</v>
      </c>
      <c r="H345">
        <v>42.2</v>
      </c>
      <c r="J345" t="str">
        <f t="shared" si="16"/>
        <v>-24</v>
      </c>
      <c r="K345" t="str">
        <f t="shared" si="17"/>
        <v>-11</v>
      </c>
      <c r="L345" t="str">
        <f t="shared" si="18"/>
        <v>-42,2</v>
      </c>
      <c r="N345" s="2">
        <v>-24</v>
      </c>
      <c r="O345" s="2">
        <v>-11</v>
      </c>
      <c r="P345" s="2">
        <v>-42.2</v>
      </c>
    </row>
    <row r="346" spans="1:16" x14ac:dyDescent="0.25">
      <c r="A346" s="1">
        <v>44907</v>
      </c>
      <c r="B346">
        <v>18</v>
      </c>
      <c r="C346">
        <v>8</v>
      </c>
      <c r="D346">
        <v>44.52</v>
      </c>
      <c r="E346" s="2" t="s">
        <v>0</v>
      </c>
      <c r="F346">
        <v>24</v>
      </c>
      <c r="G346">
        <v>13</v>
      </c>
      <c r="H346">
        <v>5.2</v>
      </c>
      <c r="J346" t="str">
        <f t="shared" si="16"/>
        <v>-24</v>
      </c>
      <c r="K346" t="str">
        <f t="shared" si="17"/>
        <v>-13</v>
      </c>
      <c r="L346" t="str">
        <f t="shared" si="18"/>
        <v>-5,2</v>
      </c>
      <c r="N346" s="2">
        <v>-24</v>
      </c>
      <c r="O346" s="2">
        <v>-13</v>
      </c>
      <c r="P346" s="2">
        <v>-5.2</v>
      </c>
    </row>
    <row r="347" spans="1:16" x14ac:dyDescent="0.25">
      <c r="A347" s="1">
        <v>44908</v>
      </c>
      <c r="B347">
        <v>18</v>
      </c>
      <c r="C347">
        <v>14</v>
      </c>
      <c r="D347">
        <v>14.72</v>
      </c>
      <c r="E347" s="2" t="s">
        <v>0</v>
      </c>
      <c r="F347">
        <v>24</v>
      </c>
      <c r="G347">
        <v>13</v>
      </c>
      <c r="H347">
        <v>43.3</v>
      </c>
      <c r="J347" t="str">
        <f t="shared" si="16"/>
        <v>-24</v>
      </c>
      <c r="K347" t="str">
        <f t="shared" si="17"/>
        <v>-13</v>
      </c>
      <c r="L347" t="str">
        <f t="shared" si="18"/>
        <v>-43,3</v>
      </c>
      <c r="N347" s="2">
        <v>-24</v>
      </c>
      <c r="O347" s="2">
        <v>-13</v>
      </c>
      <c r="P347" s="2">
        <v>-43.3</v>
      </c>
    </row>
    <row r="348" spans="1:16" x14ac:dyDescent="0.25">
      <c r="A348" s="1">
        <v>44909</v>
      </c>
      <c r="B348">
        <v>18</v>
      </c>
      <c r="C348">
        <v>19</v>
      </c>
      <c r="D348">
        <v>44.93</v>
      </c>
      <c r="E348" s="2" t="s">
        <v>0</v>
      </c>
      <c r="F348">
        <v>24</v>
      </c>
      <c r="G348">
        <v>13</v>
      </c>
      <c r="H348">
        <v>36.4</v>
      </c>
      <c r="J348" t="str">
        <f t="shared" si="16"/>
        <v>-24</v>
      </c>
      <c r="K348" t="str">
        <f t="shared" si="17"/>
        <v>-13</v>
      </c>
      <c r="L348" t="str">
        <f t="shared" si="18"/>
        <v>-36,4</v>
      </c>
      <c r="N348" s="2">
        <v>-24</v>
      </c>
      <c r="O348" s="2">
        <v>-13</v>
      </c>
      <c r="P348" s="2">
        <v>-36.4</v>
      </c>
    </row>
    <row r="349" spans="1:16" x14ac:dyDescent="0.25">
      <c r="A349" s="1">
        <v>44910</v>
      </c>
      <c r="B349">
        <v>18</v>
      </c>
      <c r="C349">
        <v>25</v>
      </c>
      <c r="D349">
        <v>15.09</v>
      </c>
      <c r="E349" s="2" t="s">
        <v>0</v>
      </c>
      <c r="F349">
        <v>24</v>
      </c>
      <c r="G349">
        <v>12</v>
      </c>
      <c r="H349">
        <v>44.5</v>
      </c>
      <c r="J349" t="str">
        <f t="shared" si="16"/>
        <v>-24</v>
      </c>
      <c r="K349" t="str">
        <f t="shared" si="17"/>
        <v>-12</v>
      </c>
      <c r="L349" t="str">
        <f t="shared" si="18"/>
        <v>-44,5</v>
      </c>
      <c r="N349" s="2">
        <v>-24</v>
      </c>
      <c r="O349" s="2">
        <v>-12</v>
      </c>
      <c r="P349" s="2">
        <v>-44.5</v>
      </c>
    </row>
    <row r="350" spans="1:16" x14ac:dyDescent="0.25">
      <c r="A350" s="1">
        <v>44911</v>
      </c>
      <c r="B350">
        <v>18</v>
      </c>
      <c r="C350">
        <v>30</v>
      </c>
      <c r="D350">
        <v>45.12</v>
      </c>
      <c r="E350" s="2" t="s">
        <v>0</v>
      </c>
      <c r="F350">
        <v>24</v>
      </c>
      <c r="G350">
        <v>11</v>
      </c>
      <c r="H350">
        <v>7.7</v>
      </c>
      <c r="J350" t="str">
        <f t="shared" si="16"/>
        <v>-24</v>
      </c>
      <c r="K350" t="str">
        <f t="shared" si="17"/>
        <v>-11</v>
      </c>
      <c r="L350" t="str">
        <f t="shared" si="18"/>
        <v>-7,7</v>
      </c>
      <c r="N350" s="2">
        <v>-24</v>
      </c>
      <c r="O350" s="2">
        <v>-11</v>
      </c>
      <c r="P350" s="2">
        <v>-7.7</v>
      </c>
    </row>
    <row r="351" spans="1:16" x14ac:dyDescent="0.25">
      <c r="A351" s="1">
        <v>44912</v>
      </c>
      <c r="B351">
        <v>18</v>
      </c>
      <c r="C351">
        <v>36</v>
      </c>
      <c r="D351">
        <v>14.97</v>
      </c>
      <c r="E351" s="2" t="s">
        <v>0</v>
      </c>
      <c r="F351">
        <v>24</v>
      </c>
      <c r="G351">
        <v>8</v>
      </c>
      <c r="H351">
        <v>46</v>
      </c>
      <c r="J351" t="str">
        <f t="shared" si="16"/>
        <v>-24</v>
      </c>
      <c r="K351" t="str">
        <f t="shared" si="17"/>
        <v>-8</v>
      </c>
      <c r="L351" t="str">
        <f t="shared" si="18"/>
        <v>-46</v>
      </c>
      <c r="N351" s="2">
        <v>-24</v>
      </c>
      <c r="O351" s="2">
        <v>-8</v>
      </c>
      <c r="P351" s="2">
        <v>-46</v>
      </c>
    </row>
    <row r="352" spans="1:16" x14ac:dyDescent="0.25">
      <c r="A352" s="1">
        <v>44913</v>
      </c>
      <c r="B352">
        <v>18</v>
      </c>
      <c r="C352">
        <v>41</v>
      </c>
      <c r="D352">
        <v>44.57</v>
      </c>
      <c r="E352" s="2" t="s">
        <v>0</v>
      </c>
      <c r="F352">
        <v>24</v>
      </c>
      <c r="G352">
        <v>5</v>
      </c>
      <c r="H352">
        <v>39.5</v>
      </c>
      <c r="J352" t="str">
        <f t="shared" si="16"/>
        <v>-24</v>
      </c>
      <c r="K352" t="str">
        <f t="shared" si="17"/>
        <v>-5</v>
      </c>
      <c r="L352" t="str">
        <f t="shared" si="18"/>
        <v>-39,5</v>
      </c>
      <c r="N352" s="2">
        <v>-24</v>
      </c>
      <c r="O352" s="2">
        <v>-5</v>
      </c>
      <c r="P352" s="2">
        <v>-39.5</v>
      </c>
    </row>
    <row r="353" spans="1:16" x14ac:dyDescent="0.25">
      <c r="A353" s="1">
        <v>44914</v>
      </c>
      <c r="B353">
        <v>18</v>
      </c>
      <c r="C353">
        <v>47</v>
      </c>
      <c r="D353">
        <v>13.85</v>
      </c>
      <c r="E353" s="2" t="s">
        <v>0</v>
      </c>
      <c r="F353">
        <v>24</v>
      </c>
      <c r="G353">
        <v>1</v>
      </c>
      <c r="H353">
        <v>48.2</v>
      </c>
      <c r="J353" t="str">
        <f t="shared" si="16"/>
        <v>-24</v>
      </c>
      <c r="K353" t="str">
        <f t="shared" si="17"/>
        <v>-1</v>
      </c>
      <c r="L353" t="str">
        <f t="shared" si="18"/>
        <v>-48,2</v>
      </c>
      <c r="N353" s="2">
        <v>-24</v>
      </c>
      <c r="O353" s="2">
        <v>-1</v>
      </c>
      <c r="P353" s="2">
        <v>-48.2</v>
      </c>
    </row>
    <row r="354" spans="1:16" x14ac:dyDescent="0.25">
      <c r="A354" s="1">
        <v>44915</v>
      </c>
      <c r="B354">
        <v>18</v>
      </c>
      <c r="C354">
        <v>52</v>
      </c>
      <c r="D354">
        <v>42.75</v>
      </c>
      <c r="E354" s="2" t="s">
        <v>0</v>
      </c>
      <c r="F354">
        <v>23</v>
      </c>
      <c r="G354">
        <v>57</v>
      </c>
      <c r="H354">
        <v>12.4</v>
      </c>
      <c r="J354" t="str">
        <f t="shared" si="16"/>
        <v>-23</v>
      </c>
      <c r="K354" t="str">
        <f t="shared" si="17"/>
        <v>-57</v>
      </c>
      <c r="L354" t="str">
        <f t="shared" si="18"/>
        <v>-12,4</v>
      </c>
      <c r="N354" s="2">
        <v>-23</v>
      </c>
      <c r="O354" s="2">
        <v>-57</v>
      </c>
      <c r="P354" s="2">
        <v>-12.4</v>
      </c>
    </row>
    <row r="355" spans="1:16" x14ac:dyDescent="0.25">
      <c r="A355" s="1">
        <v>44916</v>
      </c>
      <c r="B355">
        <v>18</v>
      </c>
      <c r="C355">
        <v>58</v>
      </c>
      <c r="D355">
        <v>11.2</v>
      </c>
      <c r="E355" s="2" t="s">
        <v>0</v>
      </c>
      <c r="F355">
        <v>23</v>
      </c>
      <c r="G355">
        <v>51</v>
      </c>
      <c r="H355">
        <v>52.2</v>
      </c>
      <c r="J355" t="str">
        <f t="shared" si="16"/>
        <v>-23</v>
      </c>
      <c r="K355" t="str">
        <f t="shared" si="17"/>
        <v>-51</v>
      </c>
      <c r="L355" t="str">
        <f t="shared" si="18"/>
        <v>-52,2</v>
      </c>
      <c r="N355" s="2">
        <v>-23</v>
      </c>
      <c r="O355" s="2">
        <v>-51</v>
      </c>
      <c r="P355" s="2">
        <v>-52.2</v>
      </c>
    </row>
    <row r="356" spans="1:16" x14ac:dyDescent="0.25">
      <c r="A356" s="1">
        <v>44917</v>
      </c>
      <c r="B356">
        <v>19</v>
      </c>
      <c r="C356">
        <v>3</v>
      </c>
      <c r="D356">
        <v>39.15</v>
      </c>
      <c r="E356" s="2" t="s">
        <v>0</v>
      </c>
      <c r="F356">
        <v>23</v>
      </c>
      <c r="G356">
        <v>45</v>
      </c>
      <c r="H356">
        <v>47.9</v>
      </c>
      <c r="J356" t="str">
        <f t="shared" si="16"/>
        <v>-23</v>
      </c>
      <c r="K356" t="str">
        <f t="shared" si="17"/>
        <v>-45</v>
      </c>
      <c r="L356" t="str">
        <f t="shared" si="18"/>
        <v>-47,9</v>
      </c>
      <c r="N356" s="2">
        <v>-23</v>
      </c>
      <c r="O356" s="2">
        <v>-45</v>
      </c>
      <c r="P356" s="2">
        <v>-47.9</v>
      </c>
    </row>
    <row r="357" spans="1:16" x14ac:dyDescent="0.25">
      <c r="A357" s="1">
        <v>44918</v>
      </c>
      <c r="B357">
        <v>19</v>
      </c>
      <c r="C357">
        <v>9</v>
      </c>
      <c r="D357">
        <v>6.53</v>
      </c>
      <c r="E357" s="2" t="s">
        <v>0</v>
      </c>
      <c r="F357">
        <v>23</v>
      </c>
      <c r="G357">
        <v>38</v>
      </c>
      <c r="H357">
        <v>59.6</v>
      </c>
      <c r="J357" t="str">
        <f t="shared" si="16"/>
        <v>-23</v>
      </c>
      <c r="K357" t="str">
        <f t="shared" si="17"/>
        <v>-38</v>
      </c>
      <c r="L357" t="str">
        <f t="shared" si="18"/>
        <v>-59,6</v>
      </c>
      <c r="N357" s="2">
        <v>-23</v>
      </c>
      <c r="O357" s="2">
        <v>-38</v>
      </c>
      <c r="P357" s="2">
        <v>-59.6</v>
      </c>
    </row>
    <row r="358" spans="1:16" x14ac:dyDescent="0.25">
      <c r="A358" s="1">
        <v>44919</v>
      </c>
      <c r="B358">
        <v>19</v>
      </c>
      <c r="C358">
        <v>14</v>
      </c>
      <c r="D358">
        <v>33.270000000000003</v>
      </c>
      <c r="E358" s="2" t="s">
        <v>0</v>
      </c>
      <c r="F358">
        <v>23</v>
      </c>
      <c r="G358">
        <v>31</v>
      </c>
      <c r="H358">
        <v>27.7</v>
      </c>
      <c r="J358" t="str">
        <f t="shared" si="16"/>
        <v>-23</v>
      </c>
      <c r="K358" t="str">
        <f t="shared" si="17"/>
        <v>-31</v>
      </c>
      <c r="L358" t="str">
        <f t="shared" si="18"/>
        <v>-27,7</v>
      </c>
      <c r="N358" s="2">
        <v>-23</v>
      </c>
      <c r="O358" s="2">
        <v>-31</v>
      </c>
      <c r="P358" s="2">
        <v>-27.7</v>
      </c>
    </row>
    <row r="359" spans="1:16" x14ac:dyDescent="0.25">
      <c r="A359" s="1">
        <v>44920</v>
      </c>
      <c r="B359">
        <v>19</v>
      </c>
      <c r="C359">
        <v>19</v>
      </c>
      <c r="D359">
        <v>59.32</v>
      </c>
      <c r="E359" s="2" t="s">
        <v>0</v>
      </c>
      <c r="F359">
        <v>23</v>
      </c>
      <c r="G359">
        <v>23</v>
      </c>
      <c r="H359">
        <v>12.6</v>
      </c>
      <c r="J359" t="str">
        <f t="shared" si="16"/>
        <v>-23</v>
      </c>
      <c r="K359" t="str">
        <f t="shared" si="17"/>
        <v>-23</v>
      </c>
      <c r="L359" t="str">
        <f t="shared" si="18"/>
        <v>-12,6</v>
      </c>
      <c r="N359" s="2">
        <v>-23</v>
      </c>
      <c r="O359" s="2">
        <v>-23</v>
      </c>
      <c r="P359" s="2">
        <v>-12.6</v>
      </c>
    </row>
    <row r="360" spans="1:16" x14ac:dyDescent="0.25">
      <c r="A360" s="1">
        <v>44921</v>
      </c>
      <c r="B360">
        <v>19</v>
      </c>
      <c r="C360">
        <v>25</v>
      </c>
      <c r="D360">
        <v>24.62</v>
      </c>
      <c r="E360" s="2" t="s">
        <v>0</v>
      </c>
      <c r="F360">
        <v>23</v>
      </c>
      <c r="G360">
        <v>14</v>
      </c>
      <c r="H360">
        <v>14.5</v>
      </c>
      <c r="J360" t="str">
        <f t="shared" si="16"/>
        <v>-23</v>
      </c>
      <c r="K360" t="str">
        <f t="shared" si="17"/>
        <v>-14</v>
      </c>
      <c r="L360" t="str">
        <f t="shared" si="18"/>
        <v>-14,5</v>
      </c>
      <c r="N360" s="2">
        <v>-23</v>
      </c>
      <c r="O360" s="2">
        <v>-14</v>
      </c>
      <c r="P360" s="2">
        <v>-14.5</v>
      </c>
    </row>
    <row r="361" spans="1:16" x14ac:dyDescent="0.25">
      <c r="A361" s="1">
        <v>44922</v>
      </c>
      <c r="B361">
        <v>19</v>
      </c>
      <c r="C361">
        <v>30</v>
      </c>
      <c r="D361">
        <v>49.11</v>
      </c>
      <c r="E361" s="2" t="s">
        <v>0</v>
      </c>
      <c r="F361">
        <v>23</v>
      </c>
      <c r="G361">
        <v>4</v>
      </c>
      <c r="H361">
        <v>33.9</v>
      </c>
      <c r="J361" t="str">
        <f t="shared" si="16"/>
        <v>-23</v>
      </c>
      <c r="K361" t="str">
        <f t="shared" si="17"/>
        <v>-4</v>
      </c>
      <c r="L361" t="str">
        <f t="shared" si="18"/>
        <v>-33,9</v>
      </c>
      <c r="N361" s="2">
        <v>-23</v>
      </c>
      <c r="O361" s="2">
        <v>-4</v>
      </c>
      <c r="P361" s="2">
        <v>-33.9</v>
      </c>
    </row>
    <row r="362" spans="1:16" x14ac:dyDescent="0.25">
      <c r="A362" s="1">
        <v>44923</v>
      </c>
      <c r="B362">
        <v>19</v>
      </c>
      <c r="C362">
        <v>36</v>
      </c>
      <c r="D362">
        <v>12.74</v>
      </c>
      <c r="E362" s="2" t="s">
        <v>0</v>
      </c>
      <c r="F362">
        <v>22</v>
      </c>
      <c r="G362">
        <v>54</v>
      </c>
      <c r="H362">
        <v>11.2</v>
      </c>
      <c r="J362" t="str">
        <f t="shared" si="16"/>
        <v>-22</v>
      </c>
      <c r="K362" t="str">
        <f t="shared" si="17"/>
        <v>-54</v>
      </c>
      <c r="L362" t="str">
        <f t="shared" si="18"/>
        <v>-11,2</v>
      </c>
      <c r="N362" s="2">
        <v>-22</v>
      </c>
      <c r="O362" s="2">
        <v>-54</v>
      </c>
      <c r="P362" s="2">
        <v>-11.2</v>
      </c>
    </row>
    <row r="363" spans="1:16" x14ac:dyDescent="0.25">
      <c r="A363" s="1">
        <v>44924</v>
      </c>
      <c r="B363">
        <v>19</v>
      </c>
      <c r="C363">
        <v>41</v>
      </c>
      <c r="D363">
        <v>35.46</v>
      </c>
      <c r="E363" s="2" t="s">
        <v>0</v>
      </c>
      <c r="F363">
        <v>22</v>
      </c>
      <c r="G363">
        <v>43</v>
      </c>
      <c r="H363">
        <v>6.8</v>
      </c>
      <c r="J363" t="str">
        <f t="shared" si="16"/>
        <v>-22</v>
      </c>
      <c r="K363" t="str">
        <f t="shared" si="17"/>
        <v>-43</v>
      </c>
      <c r="L363" t="str">
        <f t="shared" si="18"/>
        <v>-6,8</v>
      </c>
      <c r="N363" s="2">
        <v>-22</v>
      </c>
      <c r="O363" s="2">
        <v>-43</v>
      </c>
      <c r="P363" s="2">
        <v>-6.8</v>
      </c>
    </row>
    <row r="364" spans="1:16" x14ac:dyDescent="0.25">
      <c r="A364" s="1">
        <v>44925</v>
      </c>
      <c r="B364">
        <v>19</v>
      </c>
      <c r="C364">
        <v>46</v>
      </c>
      <c r="D364">
        <v>57.21</v>
      </c>
      <c r="E364" s="2" t="s">
        <v>0</v>
      </c>
      <c r="F364">
        <v>22</v>
      </c>
      <c r="G364">
        <v>31</v>
      </c>
      <c r="H364">
        <v>21.2</v>
      </c>
      <c r="J364" t="str">
        <f t="shared" si="16"/>
        <v>-22</v>
      </c>
      <c r="K364" t="str">
        <f t="shared" si="17"/>
        <v>-31</v>
      </c>
      <c r="L364" t="str">
        <f t="shared" si="18"/>
        <v>-21,2</v>
      </c>
      <c r="N364" s="2">
        <v>-22</v>
      </c>
      <c r="O364" s="2">
        <v>-31</v>
      </c>
      <c r="P364" s="2">
        <v>-21.2</v>
      </c>
    </row>
    <row r="365" spans="1:16" x14ac:dyDescent="0.25">
      <c r="A365" s="1">
        <v>44926</v>
      </c>
      <c r="B365">
        <v>19</v>
      </c>
      <c r="C365">
        <v>52</v>
      </c>
      <c r="D365">
        <v>17.95</v>
      </c>
      <c r="E365" s="2" t="s">
        <v>0</v>
      </c>
      <c r="F365">
        <v>22</v>
      </c>
      <c r="G365">
        <v>18</v>
      </c>
      <c r="H365">
        <v>55</v>
      </c>
      <c r="J365" t="str">
        <f t="shared" si="16"/>
        <v>-22</v>
      </c>
      <c r="K365" t="str">
        <f t="shared" si="17"/>
        <v>-18</v>
      </c>
      <c r="L365" t="str">
        <f t="shared" si="18"/>
        <v>-55</v>
      </c>
      <c r="N365" s="2">
        <v>-22</v>
      </c>
      <c r="O365" s="2">
        <v>-18</v>
      </c>
      <c r="P365" s="2">
        <v>-55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D9DA-F3E6-4739-B880-D56C01E7C5A0}">
  <dimension ref="A1:Q367"/>
  <sheetViews>
    <sheetView tabSelected="1" zoomScale="70" zoomScaleNormal="70" workbookViewId="0">
      <selection activeCell="A31" sqref="A31:XFD31"/>
    </sheetView>
  </sheetViews>
  <sheetFormatPr defaultRowHeight="15" x14ac:dyDescent="0.25"/>
  <cols>
    <col min="1" max="1" width="10.140625" bestFit="1" customWidth="1"/>
    <col min="2" max="7" width="9.85546875" customWidth="1"/>
    <col min="8" max="9" width="12.28515625" customWidth="1"/>
    <col min="10" max="15" width="9.85546875" customWidth="1"/>
    <col min="16" max="17" width="12.28515625" customWidth="1"/>
  </cols>
  <sheetData>
    <row r="1" spans="1:17" x14ac:dyDescent="0.25">
      <c r="A1" s="7" t="s">
        <v>2</v>
      </c>
      <c r="B1" s="7"/>
      <c r="C1" s="7"/>
      <c r="D1" s="7"/>
      <c r="E1" s="7"/>
      <c r="F1" s="7"/>
      <c r="G1" s="7"/>
      <c r="H1" s="7"/>
      <c r="I1" s="7"/>
      <c r="J1" s="7" t="s">
        <v>3</v>
      </c>
      <c r="K1" s="7"/>
      <c r="L1" s="7"/>
      <c r="M1" s="7"/>
      <c r="N1" s="7"/>
      <c r="O1" s="7"/>
      <c r="P1" s="7"/>
      <c r="Q1" s="7"/>
    </row>
    <row r="2" spans="1:17" x14ac:dyDescent="0.25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12</v>
      </c>
      <c r="H2" s="8" t="s">
        <v>10</v>
      </c>
      <c r="I2" s="8" t="s">
        <v>11</v>
      </c>
      <c r="J2" s="8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8" t="s">
        <v>12</v>
      </c>
      <c r="P2" s="8" t="s">
        <v>10</v>
      </c>
      <c r="Q2" s="8" t="s">
        <v>11</v>
      </c>
    </row>
    <row r="3" spans="1:17" x14ac:dyDescent="0.25">
      <c r="A3" s="9" t="s">
        <v>13</v>
      </c>
      <c r="B3" s="10">
        <v>16</v>
      </c>
      <c r="C3" s="10">
        <v>45</v>
      </c>
      <c r="D3" s="11">
        <v>21.41</v>
      </c>
      <c r="E3" s="12">
        <v>-22</v>
      </c>
      <c r="F3" s="12">
        <v>-27</v>
      </c>
      <c r="G3" s="12">
        <v>-40.299999999999997</v>
      </c>
      <c r="H3" s="13">
        <f>B3*3600+C3*60+D3</f>
        <v>60321.41</v>
      </c>
      <c r="I3" s="14">
        <f>F3/60+G3/3600+E3</f>
        <v>-22.461194444444445</v>
      </c>
      <c r="J3" s="10">
        <v>19</v>
      </c>
      <c r="K3" s="10">
        <v>37</v>
      </c>
      <c r="L3" s="10">
        <v>15.87</v>
      </c>
      <c r="M3" s="12">
        <v>-18</v>
      </c>
      <c r="N3" s="12">
        <v>-37</v>
      </c>
      <c r="O3" s="12">
        <v>-55.1</v>
      </c>
      <c r="P3" s="13">
        <f>J3*3600+K3*60+L3</f>
        <v>70635.87</v>
      </c>
      <c r="Q3" s="14">
        <f>M3+N3/60+O3/3600</f>
        <v>-18.631972222222224</v>
      </c>
    </row>
    <row r="4" spans="1:17" x14ac:dyDescent="0.25">
      <c r="A4" s="9" t="s">
        <v>14</v>
      </c>
      <c r="B4" s="10">
        <v>16</v>
      </c>
      <c r="C4" s="10">
        <v>48</v>
      </c>
      <c r="D4" s="11">
        <v>24.36</v>
      </c>
      <c r="E4" s="12">
        <v>-22</v>
      </c>
      <c r="F4" s="12">
        <v>-33</v>
      </c>
      <c r="G4" s="12">
        <v>-39</v>
      </c>
      <c r="H4" s="13">
        <f t="shared" ref="H4:H67" si="0">B4*3600+C4*60+D4</f>
        <v>60504.36</v>
      </c>
      <c r="I4" s="14">
        <f t="shared" ref="I4:I67" si="1">F4/60+G4/3600+E4</f>
        <v>-22.560833333333335</v>
      </c>
      <c r="J4" s="10">
        <v>19</v>
      </c>
      <c r="K4" s="10">
        <v>35</v>
      </c>
      <c r="L4" s="10">
        <v>0.39</v>
      </c>
      <c r="M4" s="12">
        <v>-18</v>
      </c>
      <c r="N4" s="12">
        <v>-27</v>
      </c>
      <c r="O4" s="12">
        <v>-23.1</v>
      </c>
      <c r="P4" s="13">
        <f t="shared" ref="P4:P67" si="2">J4*3600+K4*60+L4</f>
        <v>70500.39</v>
      </c>
      <c r="Q4" s="14">
        <f t="shared" ref="Q4:Q67" si="3">M4+N4/60+O4/3600</f>
        <v>-18.456416666666666</v>
      </c>
    </row>
    <row r="5" spans="1:17" x14ac:dyDescent="0.25">
      <c r="A5" s="9" t="s">
        <v>15</v>
      </c>
      <c r="B5" s="10">
        <v>16</v>
      </c>
      <c r="C5" s="10">
        <v>51</v>
      </c>
      <c r="D5" s="11">
        <v>27.72</v>
      </c>
      <c r="E5" s="12">
        <v>-22</v>
      </c>
      <c r="F5" s="12">
        <v>-39</v>
      </c>
      <c r="G5" s="12">
        <v>-25.3</v>
      </c>
      <c r="H5" s="13">
        <f t="shared" si="0"/>
        <v>60687.72</v>
      </c>
      <c r="I5" s="14">
        <f t="shared" si="1"/>
        <v>-22.657027777777778</v>
      </c>
      <c r="J5" s="10">
        <v>19</v>
      </c>
      <c r="K5" s="10">
        <v>32</v>
      </c>
      <c r="L5" s="10">
        <v>38.67</v>
      </c>
      <c r="M5" s="12">
        <v>-18</v>
      </c>
      <c r="N5" s="12">
        <v>-17</v>
      </c>
      <c r="O5" s="12">
        <v>-6.6</v>
      </c>
      <c r="P5" s="13">
        <f t="shared" si="2"/>
        <v>70358.67</v>
      </c>
      <c r="Q5" s="14">
        <f t="shared" si="3"/>
        <v>-18.285166666666669</v>
      </c>
    </row>
    <row r="6" spans="1:17" x14ac:dyDescent="0.25">
      <c r="A6" s="9" t="s">
        <v>16</v>
      </c>
      <c r="B6" s="10">
        <v>16</v>
      </c>
      <c r="C6" s="10">
        <v>54</v>
      </c>
      <c r="D6" s="11">
        <v>31.5</v>
      </c>
      <c r="E6" s="12">
        <v>-22</v>
      </c>
      <c r="F6" s="12">
        <v>-44</v>
      </c>
      <c r="G6" s="12">
        <v>-59</v>
      </c>
      <c r="H6" s="13">
        <f t="shared" si="0"/>
        <v>60871.5</v>
      </c>
      <c r="I6" s="14">
        <f t="shared" si="1"/>
        <v>-22.749722222222221</v>
      </c>
      <c r="J6" s="10">
        <v>19</v>
      </c>
      <c r="K6" s="10">
        <v>30</v>
      </c>
      <c r="L6" s="10">
        <v>11.56</v>
      </c>
      <c r="M6" s="12">
        <v>-18</v>
      </c>
      <c r="N6" s="12">
        <v>-7</v>
      </c>
      <c r="O6" s="12">
        <v>-6.7</v>
      </c>
      <c r="P6" s="13">
        <f t="shared" si="2"/>
        <v>70211.56</v>
      </c>
      <c r="Q6" s="14">
        <f t="shared" si="3"/>
        <v>-18.118527777777778</v>
      </c>
    </row>
    <row r="7" spans="1:17" x14ac:dyDescent="0.25">
      <c r="A7" s="9" t="s">
        <v>17</v>
      </c>
      <c r="B7" s="10">
        <v>16</v>
      </c>
      <c r="C7" s="10">
        <v>57</v>
      </c>
      <c r="D7" s="11">
        <v>35.68</v>
      </c>
      <c r="E7" s="12">
        <v>-22</v>
      </c>
      <c r="F7" s="12">
        <v>-50</v>
      </c>
      <c r="G7" s="12">
        <v>-20</v>
      </c>
      <c r="H7" s="13">
        <f t="shared" si="0"/>
        <v>61055.68</v>
      </c>
      <c r="I7" s="14">
        <f t="shared" si="1"/>
        <v>-22.838888888888889</v>
      </c>
      <c r="J7" s="10">
        <v>19</v>
      </c>
      <c r="K7" s="10">
        <v>27</v>
      </c>
      <c r="L7" s="10">
        <v>39.950000000000003</v>
      </c>
      <c r="M7" s="12">
        <v>-17</v>
      </c>
      <c r="N7" s="12">
        <v>-57</v>
      </c>
      <c r="O7" s="12">
        <v>-24.5</v>
      </c>
      <c r="P7" s="13">
        <f t="shared" si="2"/>
        <v>70059.95</v>
      </c>
      <c r="Q7" s="14">
        <f t="shared" si="3"/>
        <v>-17.956805555555555</v>
      </c>
    </row>
    <row r="8" spans="1:17" x14ac:dyDescent="0.25">
      <c r="A8" s="9" t="s">
        <v>18</v>
      </c>
      <c r="B8" s="10">
        <v>17</v>
      </c>
      <c r="C8" s="10">
        <v>0</v>
      </c>
      <c r="D8" s="11">
        <v>40.25</v>
      </c>
      <c r="E8" s="12">
        <v>-22</v>
      </c>
      <c r="F8" s="12">
        <v>-55</v>
      </c>
      <c r="G8" s="12">
        <v>-28.2</v>
      </c>
      <c r="H8" s="13">
        <f t="shared" si="0"/>
        <v>61240.25</v>
      </c>
      <c r="I8" s="14">
        <f t="shared" si="1"/>
        <v>-22.924499999999998</v>
      </c>
      <c r="J8" s="10">
        <v>19</v>
      </c>
      <c r="K8" s="10">
        <v>25</v>
      </c>
      <c r="L8" s="10">
        <v>4.79</v>
      </c>
      <c r="M8" s="12">
        <v>-17</v>
      </c>
      <c r="N8" s="12">
        <v>-48</v>
      </c>
      <c r="O8" s="12">
        <v>-1.1000000000000001</v>
      </c>
      <c r="P8" s="13">
        <f t="shared" si="2"/>
        <v>69904.789999999994</v>
      </c>
      <c r="Q8" s="14">
        <f t="shared" si="3"/>
        <v>-17.800305555555557</v>
      </c>
    </row>
    <row r="9" spans="1:17" x14ac:dyDescent="0.25">
      <c r="A9" s="9" t="s">
        <v>19</v>
      </c>
      <c r="B9" s="10">
        <v>17</v>
      </c>
      <c r="C9" s="10">
        <v>3</v>
      </c>
      <c r="D9" s="11">
        <v>45.2</v>
      </c>
      <c r="E9" s="12">
        <v>-23</v>
      </c>
      <c r="F9" s="12">
        <v>0</v>
      </c>
      <c r="G9" s="12">
        <v>-23.5</v>
      </c>
      <c r="H9" s="13">
        <f t="shared" si="0"/>
        <v>61425.2</v>
      </c>
      <c r="I9" s="14">
        <f t="shared" si="1"/>
        <v>-23.006527777777777</v>
      </c>
      <c r="J9" s="10">
        <v>19</v>
      </c>
      <c r="K9" s="10">
        <v>22</v>
      </c>
      <c r="L9" s="10">
        <v>27.08</v>
      </c>
      <c r="M9" s="12">
        <v>-17</v>
      </c>
      <c r="N9" s="12">
        <v>-38</v>
      </c>
      <c r="O9" s="12">
        <v>-57.9</v>
      </c>
      <c r="P9" s="13">
        <f t="shared" si="2"/>
        <v>69747.08</v>
      </c>
      <c r="Q9" s="14">
        <f t="shared" si="3"/>
        <v>-17.649416666666667</v>
      </c>
    </row>
    <row r="10" spans="1:17" x14ac:dyDescent="0.25">
      <c r="A10" s="9" t="s">
        <v>20</v>
      </c>
      <c r="B10" s="10">
        <v>17</v>
      </c>
      <c r="C10" s="10">
        <v>6</v>
      </c>
      <c r="D10" s="11">
        <v>50.52</v>
      </c>
      <c r="E10" s="12">
        <v>-23</v>
      </c>
      <c r="F10" s="12">
        <v>-5</v>
      </c>
      <c r="G10" s="12">
        <v>-5.7</v>
      </c>
      <c r="H10" s="13">
        <f t="shared" si="0"/>
        <v>61610.52</v>
      </c>
      <c r="I10" s="14">
        <f t="shared" si="1"/>
        <v>-23.084916666666668</v>
      </c>
      <c r="J10" s="10">
        <v>19</v>
      </c>
      <c r="K10" s="10">
        <v>19</v>
      </c>
      <c r="L10" s="10">
        <v>47.87</v>
      </c>
      <c r="M10" s="12">
        <v>-17</v>
      </c>
      <c r="N10" s="12">
        <v>-30</v>
      </c>
      <c r="O10" s="12">
        <v>-16.100000000000001</v>
      </c>
      <c r="P10" s="13">
        <f t="shared" si="2"/>
        <v>69587.87</v>
      </c>
      <c r="Q10" s="14">
        <f t="shared" si="3"/>
        <v>-17.504472222222223</v>
      </c>
    </row>
    <row r="11" spans="1:17" x14ac:dyDescent="0.25">
      <c r="A11" s="9" t="s">
        <v>21</v>
      </c>
      <c r="B11" s="10">
        <v>17</v>
      </c>
      <c r="C11" s="10">
        <v>9</v>
      </c>
      <c r="D11" s="11">
        <v>56.2</v>
      </c>
      <c r="E11" s="12">
        <v>-23</v>
      </c>
      <c r="F11" s="12">
        <v>-9</v>
      </c>
      <c r="G11" s="12">
        <v>-34.9</v>
      </c>
      <c r="H11" s="13">
        <f t="shared" si="0"/>
        <v>61796.2</v>
      </c>
      <c r="I11" s="14">
        <f t="shared" si="1"/>
        <v>-23.159694444444444</v>
      </c>
      <c r="J11" s="10">
        <v>19</v>
      </c>
      <c r="K11" s="10">
        <v>17</v>
      </c>
      <c r="L11" s="10">
        <v>8.2200000000000006</v>
      </c>
      <c r="M11" s="12">
        <v>-17</v>
      </c>
      <c r="N11" s="12">
        <v>-21</v>
      </c>
      <c r="O11" s="12">
        <v>-56.9</v>
      </c>
      <c r="P11" s="13">
        <f t="shared" si="2"/>
        <v>69428.22</v>
      </c>
      <c r="Q11" s="14">
        <f t="shared" si="3"/>
        <v>-17.365805555555557</v>
      </c>
    </row>
    <row r="12" spans="1:17" x14ac:dyDescent="0.25">
      <c r="A12" s="9" t="s">
        <v>22</v>
      </c>
      <c r="B12" s="10">
        <v>17</v>
      </c>
      <c r="C12" s="10">
        <v>13</v>
      </c>
      <c r="D12" s="11">
        <v>2.25</v>
      </c>
      <c r="E12" s="12">
        <v>-23</v>
      </c>
      <c r="F12" s="12">
        <v>-13</v>
      </c>
      <c r="G12" s="12">
        <v>-50.9</v>
      </c>
      <c r="H12" s="13">
        <f t="shared" si="0"/>
        <v>61982.25</v>
      </c>
      <c r="I12" s="14">
        <f t="shared" si="1"/>
        <v>-23.230805555555555</v>
      </c>
      <c r="J12" s="10">
        <v>19</v>
      </c>
      <c r="K12" s="10">
        <v>14</v>
      </c>
      <c r="L12" s="10">
        <v>29.21</v>
      </c>
      <c r="M12" s="12">
        <v>-17</v>
      </c>
      <c r="N12" s="12">
        <v>-14</v>
      </c>
      <c r="O12" s="12">
        <v>-1.6</v>
      </c>
      <c r="P12" s="13">
        <f t="shared" si="2"/>
        <v>69269.210000000006</v>
      </c>
      <c r="Q12" s="14">
        <f t="shared" si="3"/>
        <v>-17.233777777777778</v>
      </c>
    </row>
    <row r="13" spans="1:17" x14ac:dyDescent="0.25">
      <c r="A13" s="9" t="s">
        <v>23</v>
      </c>
      <c r="B13" s="10">
        <v>17</v>
      </c>
      <c r="C13" s="10">
        <v>16</v>
      </c>
      <c r="D13" s="11">
        <v>8.6300000000000008</v>
      </c>
      <c r="E13" s="12">
        <v>-23</v>
      </c>
      <c r="F13" s="12">
        <v>-17</v>
      </c>
      <c r="G13" s="12">
        <v>-53.5</v>
      </c>
      <c r="H13" s="13">
        <f t="shared" si="0"/>
        <v>62168.63</v>
      </c>
      <c r="I13" s="14">
        <f t="shared" si="1"/>
        <v>-23.298194444444444</v>
      </c>
      <c r="J13" s="10">
        <v>19</v>
      </c>
      <c r="K13" s="10">
        <v>11</v>
      </c>
      <c r="L13" s="10">
        <v>51.89</v>
      </c>
      <c r="M13" s="12">
        <v>-17</v>
      </c>
      <c r="N13" s="12">
        <v>-6</v>
      </c>
      <c r="O13" s="12">
        <v>-31.3</v>
      </c>
      <c r="P13" s="13">
        <f t="shared" si="2"/>
        <v>69111.89</v>
      </c>
      <c r="Q13" s="14">
        <f t="shared" si="3"/>
        <v>-17.108694444444446</v>
      </c>
    </row>
    <row r="14" spans="1:17" x14ac:dyDescent="0.25">
      <c r="A14" s="9" t="s">
        <v>24</v>
      </c>
      <c r="B14" s="10">
        <v>17</v>
      </c>
      <c r="C14" s="10">
        <v>19</v>
      </c>
      <c r="D14" s="11">
        <v>15.36</v>
      </c>
      <c r="E14" s="12">
        <v>-23</v>
      </c>
      <c r="F14" s="12">
        <v>-21</v>
      </c>
      <c r="G14" s="12">
        <v>-42.9</v>
      </c>
      <c r="H14" s="13">
        <f t="shared" si="0"/>
        <v>62355.360000000001</v>
      </c>
      <c r="I14" s="14">
        <f t="shared" si="1"/>
        <v>-23.361916666666666</v>
      </c>
      <c r="J14" s="10">
        <v>19</v>
      </c>
      <c r="K14" s="10">
        <v>9</v>
      </c>
      <c r="L14" s="10">
        <v>17.329999999999998</v>
      </c>
      <c r="M14" s="12">
        <v>-16</v>
      </c>
      <c r="N14" s="12">
        <v>-59</v>
      </c>
      <c r="O14" s="12">
        <v>-27.2</v>
      </c>
      <c r="P14" s="13">
        <f t="shared" si="2"/>
        <v>68957.33</v>
      </c>
      <c r="Q14" s="14">
        <f t="shared" si="3"/>
        <v>-16.99088888888889</v>
      </c>
    </row>
    <row r="15" spans="1:17" x14ac:dyDescent="0.25">
      <c r="A15" s="9" t="s">
        <v>25</v>
      </c>
      <c r="B15" s="10">
        <v>17</v>
      </c>
      <c r="C15" s="10">
        <v>22</v>
      </c>
      <c r="D15" s="11">
        <v>22.42</v>
      </c>
      <c r="E15" s="12">
        <v>-23</v>
      </c>
      <c r="F15" s="12">
        <v>-25</v>
      </c>
      <c r="G15" s="12">
        <v>-18.8</v>
      </c>
      <c r="H15" s="13">
        <f t="shared" si="0"/>
        <v>62542.42</v>
      </c>
      <c r="I15" s="14">
        <f t="shared" si="1"/>
        <v>-23.421888888888891</v>
      </c>
      <c r="J15" s="10">
        <v>19</v>
      </c>
      <c r="K15" s="10">
        <v>6</v>
      </c>
      <c r="L15" s="10">
        <v>46.54</v>
      </c>
      <c r="M15" s="12">
        <v>-16</v>
      </c>
      <c r="N15" s="12">
        <v>-52</v>
      </c>
      <c r="O15" s="12">
        <v>-50.4</v>
      </c>
      <c r="P15" s="13">
        <f t="shared" si="2"/>
        <v>68806.539999999994</v>
      </c>
      <c r="Q15" s="14">
        <f t="shared" si="3"/>
        <v>-16.880666666666666</v>
      </c>
    </row>
    <row r="16" spans="1:17" x14ac:dyDescent="0.25">
      <c r="A16" s="9" t="s">
        <v>26</v>
      </c>
      <c r="B16" s="10">
        <v>17</v>
      </c>
      <c r="C16" s="10">
        <v>25</v>
      </c>
      <c r="D16" s="11">
        <v>29.79</v>
      </c>
      <c r="E16" s="12">
        <v>-23</v>
      </c>
      <c r="F16" s="12">
        <v>-28</v>
      </c>
      <c r="G16" s="12">
        <v>-41.1</v>
      </c>
      <c r="H16" s="13">
        <f t="shared" si="0"/>
        <v>62729.79</v>
      </c>
      <c r="I16" s="14">
        <f t="shared" si="1"/>
        <v>-23.478083333333334</v>
      </c>
      <c r="J16" s="10">
        <v>19</v>
      </c>
      <c r="K16" s="10">
        <v>4</v>
      </c>
      <c r="L16" s="10">
        <v>20.49</v>
      </c>
      <c r="M16" s="12">
        <v>-16</v>
      </c>
      <c r="N16" s="12">
        <v>-46</v>
      </c>
      <c r="O16" s="12">
        <v>-41.8</v>
      </c>
      <c r="P16" s="13">
        <f t="shared" si="2"/>
        <v>68660.490000000005</v>
      </c>
      <c r="Q16" s="14">
        <f t="shared" si="3"/>
        <v>-16.778277777777777</v>
      </c>
    </row>
    <row r="17" spans="1:17" x14ac:dyDescent="0.25">
      <c r="A17" s="9" t="s">
        <v>27</v>
      </c>
      <c r="B17" s="10">
        <v>17</v>
      </c>
      <c r="C17" s="10">
        <v>28</v>
      </c>
      <c r="D17" s="11">
        <v>37.49</v>
      </c>
      <c r="E17" s="12">
        <v>-23</v>
      </c>
      <c r="F17" s="12">
        <v>-31</v>
      </c>
      <c r="G17" s="12">
        <v>-49.9</v>
      </c>
      <c r="H17" s="13">
        <f t="shared" si="0"/>
        <v>62917.49</v>
      </c>
      <c r="I17" s="14">
        <f t="shared" si="1"/>
        <v>-23.530527777777777</v>
      </c>
      <c r="J17" s="10">
        <v>19</v>
      </c>
      <c r="K17" s="10">
        <v>2</v>
      </c>
      <c r="L17" s="10">
        <v>0.09</v>
      </c>
      <c r="M17" s="12">
        <v>-16</v>
      </c>
      <c r="N17" s="12">
        <v>-41</v>
      </c>
      <c r="O17" s="12">
        <v>-2</v>
      </c>
      <c r="P17" s="13">
        <f t="shared" si="2"/>
        <v>68520.09</v>
      </c>
      <c r="Q17" s="14">
        <f t="shared" si="3"/>
        <v>-16.683888888888887</v>
      </c>
    </row>
    <row r="18" spans="1:17" x14ac:dyDescent="0.25">
      <c r="A18" s="9" t="s">
        <v>28</v>
      </c>
      <c r="B18" s="10">
        <v>17</v>
      </c>
      <c r="C18" s="10">
        <v>31</v>
      </c>
      <c r="D18" s="11">
        <v>45.48</v>
      </c>
      <c r="E18" s="12">
        <v>-23</v>
      </c>
      <c r="F18" s="12">
        <v>-34</v>
      </c>
      <c r="G18" s="12">
        <v>-45</v>
      </c>
      <c r="H18" s="13">
        <f t="shared" si="0"/>
        <v>63105.48</v>
      </c>
      <c r="I18" s="14">
        <f t="shared" si="1"/>
        <v>-23.579166666666666</v>
      </c>
      <c r="J18" s="10">
        <v>18</v>
      </c>
      <c r="K18" s="10">
        <v>59</v>
      </c>
      <c r="L18" s="10">
        <v>46.18</v>
      </c>
      <c r="M18" s="12">
        <v>-16</v>
      </c>
      <c r="N18" s="12">
        <v>-35</v>
      </c>
      <c r="O18" s="12">
        <v>-51.8</v>
      </c>
      <c r="P18" s="13">
        <f t="shared" si="2"/>
        <v>68386.179999999993</v>
      </c>
      <c r="Q18" s="14">
        <f t="shared" si="3"/>
        <v>-16.59772222222222</v>
      </c>
    </row>
    <row r="19" spans="1:17" x14ac:dyDescent="0.25">
      <c r="A19" s="9" t="s">
        <v>29</v>
      </c>
      <c r="B19" s="10">
        <v>17</v>
      </c>
      <c r="C19" s="10">
        <v>34</v>
      </c>
      <c r="D19" s="11">
        <v>53.77</v>
      </c>
      <c r="E19" s="12">
        <v>-23</v>
      </c>
      <c r="F19" s="12">
        <v>-37</v>
      </c>
      <c r="G19" s="12">
        <v>-26.3</v>
      </c>
      <c r="H19" s="13">
        <f t="shared" si="0"/>
        <v>63293.77</v>
      </c>
      <c r="I19" s="14">
        <f t="shared" si="1"/>
        <v>-23.623972222222221</v>
      </c>
      <c r="J19" s="10">
        <v>18</v>
      </c>
      <c r="K19" s="10">
        <v>57</v>
      </c>
      <c r="L19" s="10">
        <v>39.54</v>
      </c>
      <c r="M19" s="12">
        <v>-16</v>
      </c>
      <c r="N19" s="12">
        <v>-31</v>
      </c>
      <c r="O19" s="12">
        <v>-11.6</v>
      </c>
      <c r="P19" s="13">
        <f t="shared" si="2"/>
        <v>68259.539999999994</v>
      </c>
      <c r="Q19" s="14">
        <f t="shared" si="3"/>
        <v>-16.51988888888889</v>
      </c>
    </row>
    <row r="20" spans="1:17" x14ac:dyDescent="0.25">
      <c r="A20" s="9" t="s">
        <v>30</v>
      </c>
      <c r="B20" s="10">
        <v>17</v>
      </c>
      <c r="C20" s="10">
        <v>38</v>
      </c>
      <c r="D20" s="11">
        <v>2.35</v>
      </c>
      <c r="E20" s="12">
        <v>-23</v>
      </c>
      <c r="F20" s="12">
        <v>-39</v>
      </c>
      <c r="G20" s="12">
        <v>-53.9</v>
      </c>
      <c r="H20" s="13">
        <f t="shared" si="0"/>
        <v>63482.35</v>
      </c>
      <c r="I20" s="14">
        <f t="shared" si="1"/>
        <v>-23.664972222222222</v>
      </c>
      <c r="J20" s="10">
        <v>18</v>
      </c>
      <c r="K20" s="10">
        <v>55</v>
      </c>
      <c r="L20" s="10">
        <v>40.86</v>
      </c>
      <c r="M20" s="12">
        <v>-16</v>
      </c>
      <c r="N20" s="12">
        <v>-27</v>
      </c>
      <c r="O20" s="12">
        <v>-1.7</v>
      </c>
      <c r="P20" s="13">
        <f t="shared" si="2"/>
        <v>68140.86</v>
      </c>
      <c r="Q20" s="14">
        <f t="shared" si="3"/>
        <v>-16.450472222222221</v>
      </c>
    </row>
    <row r="21" spans="1:17" x14ac:dyDescent="0.25">
      <c r="A21" s="9" t="s">
        <v>31</v>
      </c>
      <c r="B21" s="10">
        <v>17</v>
      </c>
      <c r="C21" s="10">
        <v>41</v>
      </c>
      <c r="D21" s="11">
        <v>11.2</v>
      </c>
      <c r="E21" s="12">
        <v>-23</v>
      </c>
      <c r="F21" s="12">
        <v>-42</v>
      </c>
      <c r="G21" s="12">
        <v>-7.5</v>
      </c>
      <c r="H21" s="13">
        <f t="shared" si="0"/>
        <v>63671.199999999997</v>
      </c>
      <c r="I21" s="14">
        <f t="shared" si="1"/>
        <v>-23.702083333333334</v>
      </c>
      <c r="J21" s="10">
        <v>18</v>
      </c>
      <c r="K21" s="10">
        <v>53</v>
      </c>
      <c r="L21" s="10">
        <v>50.75</v>
      </c>
      <c r="M21" s="12">
        <v>-16</v>
      </c>
      <c r="N21" s="12">
        <v>-23</v>
      </c>
      <c r="O21" s="12">
        <v>-22</v>
      </c>
      <c r="P21" s="13">
        <f t="shared" si="2"/>
        <v>68030.75</v>
      </c>
      <c r="Q21" s="14">
        <f t="shared" si="3"/>
        <v>-16.389444444444443</v>
      </c>
    </row>
    <row r="22" spans="1:17" x14ac:dyDescent="0.25">
      <c r="A22" s="9" t="s">
        <v>32</v>
      </c>
      <c r="B22" s="10">
        <v>17</v>
      </c>
      <c r="C22" s="10">
        <v>44</v>
      </c>
      <c r="D22" s="11">
        <v>20.32</v>
      </c>
      <c r="E22" s="12">
        <v>-23</v>
      </c>
      <c r="F22" s="12">
        <v>-44</v>
      </c>
      <c r="G22" s="12">
        <v>-7.3</v>
      </c>
      <c r="H22" s="13">
        <f t="shared" si="0"/>
        <v>63860.32</v>
      </c>
      <c r="I22" s="14">
        <f t="shared" si="1"/>
        <v>-23.735361111111111</v>
      </c>
      <c r="J22" s="10">
        <v>18</v>
      </c>
      <c r="K22" s="10">
        <v>52</v>
      </c>
      <c r="L22" s="10">
        <v>9.7200000000000006</v>
      </c>
      <c r="M22" s="12">
        <v>-16</v>
      </c>
      <c r="N22" s="12">
        <v>-20</v>
      </c>
      <c r="O22" s="12">
        <v>-12.4</v>
      </c>
      <c r="P22" s="13">
        <f t="shared" si="2"/>
        <v>67929.72</v>
      </c>
      <c r="Q22" s="14">
        <f t="shared" si="3"/>
        <v>-16.336777777777776</v>
      </c>
    </row>
    <row r="23" spans="1:17" x14ac:dyDescent="0.25">
      <c r="A23" s="9" t="s">
        <v>33</v>
      </c>
      <c r="B23" s="10">
        <v>17</v>
      </c>
      <c r="C23" s="10">
        <v>47</v>
      </c>
      <c r="D23" s="11">
        <v>29.69</v>
      </c>
      <c r="E23" s="12">
        <v>-23</v>
      </c>
      <c r="F23" s="12">
        <v>-45</v>
      </c>
      <c r="G23" s="12">
        <v>-53</v>
      </c>
      <c r="H23" s="13">
        <f t="shared" si="0"/>
        <v>64049.69</v>
      </c>
      <c r="I23" s="14">
        <f t="shared" si="1"/>
        <v>-23.764722222222222</v>
      </c>
      <c r="J23" s="10">
        <v>18</v>
      </c>
      <c r="K23" s="10">
        <v>50</v>
      </c>
      <c r="L23" s="10">
        <v>38.229999999999997</v>
      </c>
      <c r="M23" s="12">
        <v>-16</v>
      </c>
      <c r="N23" s="12">
        <v>-17</v>
      </c>
      <c r="O23" s="12">
        <v>-32.6</v>
      </c>
      <c r="P23" s="13">
        <f t="shared" si="2"/>
        <v>67838.23</v>
      </c>
      <c r="Q23" s="14">
        <f t="shared" si="3"/>
        <v>-16.29238888888889</v>
      </c>
    </row>
    <row r="24" spans="1:17" x14ac:dyDescent="0.25">
      <c r="A24" s="9" t="s">
        <v>34</v>
      </c>
      <c r="B24" s="10">
        <v>17</v>
      </c>
      <c r="C24" s="10">
        <v>50</v>
      </c>
      <c r="D24" s="11">
        <v>39.32</v>
      </c>
      <c r="E24" s="12">
        <v>-23</v>
      </c>
      <c r="F24" s="12">
        <v>-47</v>
      </c>
      <c r="G24" s="12">
        <v>-24.7</v>
      </c>
      <c r="H24" s="13">
        <f t="shared" si="0"/>
        <v>64239.32</v>
      </c>
      <c r="I24" s="14">
        <f t="shared" si="1"/>
        <v>-23.790194444444445</v>
      </c>
      <c r="J24" s="10">
        <v>18</v>
      </c>
      <c r="K24" s="10">
        <v>49</v>
      </c>
      <c r="L24" s="10">
        <v>16.63</v>
      </c>
      <c r="M24" s="12">
        <v>-16</v>
      </c>
      <c r="N24" s="12">
        <v>-15</v>
      </c>
      <c r="O24" s="12">
        <v>-21.9</v>
      </c>
      <c r="P24" s="13">
        <f t="shared" si="2"/>
        <v>67756.63</v>
      </c>
      <c r="Q24" s="14">
        <f t="shared" si="3"/>
        <v>-16.256083333333333</v>
      </c>
    </row>
    <row r="25" spans="1:17" x14ac:dyDescent="0.25">
      <c r="A25" s="9" t="s">
        <v>35</v>
      </c>
      <c r="B25" s="10">
        <v>17</v>
      </c>
      <c r="C25" s="10">
        <v>53</v>
      </c>
      <c r="D25" s="11">
        <v>49.17</v>
      </c>
      <c r="E25" s="12">
        <v>-23</v>
      </c>
      <c r="F25" s="12">
        <v>-48</v>
      </c>
      <c r="G25" s="12">
        <v>-42.2</v>
      </c>
      <c r="H25" s="13">
        <f t="shared" si="0"/>
        <v>64429.17</v>
      </c>
      <c r="I25" s="14">
        <f t="shared" si="1"/>
        <v>-23.811722222222222</v>
      </c>
      <c r="J25" s="10">
        <v>18</v>
      </c>
      <c r="K25" s="10">
        <v>48</v>
      </c>
      <c r="L25" s="10">
        <v>5.18</v>
      </c>
      <c r="M25" s="12">
        <v>-16</v>
      </c>
      <c r="N25" s="12">
        <v>-13</v>
      </c>
      <c r="O25" s="12">
        <v>-39.700000000000003</v>
      </c>
      <c r="P25" s="13">
        <f t="shared" si="2"/>
        <v>67685.179999999993</v>
      </c>
      <c r="Q25" s="14">
        <f t="shared" si="3"/>
        <v>-16.227694444444442</v>
      </c>
    </row>
    <row r="26" spans="1:17" x14ac:dyDescent="0.25">
      <c r="A26" s="9" t="s">
        <v>36</v>
      </c>
      <c r="B26" s="10">
        <v>17</v>
      </c>
      <c r="C26" s="10">
        <v>56</v>
      </c>
      <c r="D26" s="11">
        <v>59.26</v>
      </c>
      <c r="E26" s="12">
        <v>-23</v>
      </c>
      <c r="F26" s="12">
        <v>-49</v>
      </c>
      <c r="G26" s="12">
        <v>-45.6</v>
      </c>
      <c r="H26" s="13">
        <f t="shared" si="0"/>
        <v>64619.26</v>
      </c>
      <c r="I26" s="14">
        <f t="shared" si="1"/>
        <v>-23.829333333333334</v>
      </c>
      <c r="J26" s="10">
        <v>18</v>
      </c>
      <c r="K26" s="10">
        <v>47</v>
      </c>
      <c r="L26" s="10">
        <v>4.0999999999999996</v>
      </c>
      <c r="M26" s="12">
        <v>-16</v>
      </c>
      <c r="N26" s="12">
        <v>-12</v>
      </c>
      <c r="O26" s="12">
        <v>-24.9</v>
      </c>
      <c r="P26" s="13">
        <f t="shared" si="2"/>
        <v>67624.100000000006</v>
      </c>
      <c r="Q26" s="14">
        <f t="shared" si="3"/>
        <v>-16.206916666666665</v>
      </c>
    </row>
    <row r="27" spans="1:17" x14ac:dyDescent="0.25">
      <c r="A27" s="9" t="s">
        <v>37</v>
      </c>
      <c r="B27" s="10">
        <v>18</v>
      </c>
      <c r="C27" s="10">
        <v>0</v>
      </c>
      <c r="D27" s="11">
        <v>9.5500000000000007</v>
      </c>
      <c r="E27" s="12">
        <v>-23</v>
      </c>
      <c r="F27" s="12">
        <v>-50</v>
      </c>
      <c r="G27" s="12">
        <v>-34.700000000000003</v>
      </c>
      <c r="H27" s="13">
        <f t="shared" si="0"/>
        <v>64809.55</v>
      </c>
      <c r="I27" s="14">
        <f t="shared" si="1"/>
        <v>-23.842972222222222</v>
      </c>
      <c r="J27" s="10">
        <v>18</v>
      </c>
      <c r="K27" s="10">
        <v>46</v>
      </c>
      <c r="L27" s="10">
        <v>13.5</v>
      </c>
      <c r="M27" s="12">
        <v>-16</v>
      </c>
      <c r="N27" s="12">
        <v>-11</v>
      </c>
      <c r="O27" s="12">
        <v>-36.5</v>
      </c>
      <c r="P27" s="13">
        <f t="shared" si="2"/>
        <v>67573.5</v>
      </c>
      <c r="Q27" s="14">
        <f t="shared" si="3"/>
        <v>-16.193472222222223</v>
      </c>
    </row>
    <row r="28" spans="1:17" x14ac:dyDescent="0.25">
      <c r="A28" s="9" t="s">
        <v>38</v>
      </c>
      <c r="B28" s="10">
        <v>18</v>
      </c>
      <c r="C28" s="10">
        <v>3</v>
      </c>
      <c r="D28" s="11">
        <v>20.05</v>
      </c>
      <c r="E28" s="12">
        <v>-23</v>
      </c>
      <c r="F28" s="12">
        <v>-51</v>
      </c>
      <c r="G28" s="12">
        <v>-9.6</v>
      </c>
      <c r="H28" s="13">
        <f t="shared" si="0"/>
        <v>65000.05</v>
      </c>
      <c r="I28" s="14">
        <f t="shared" si="1"/>
        <v>-23.852666666666668</v>
      </c>
      <c r="J28" s="10">
        <v>18</v>
      </c>
      <c r="K28" s="10">
        <v>45</v>
      </c>
      <c r="L28" s="10">
        <v>33.450000000000003</v>
      </c>
      <c r="M28" s="12">
        <v>-16</v>
      </c>
      <c r="N28" s="12">
        <v>-11</v>
      </c>
      <c r="O28" s="12">
        <v>-13.3</v>
      </c>
      <c r="P28" s="13">
        <f t="shared" si="2"/>
        <v>67533.45</v>
      </c>
      <c r="Q28" s="14">
        <f t="shared" si="3"/>
        <v>-16.187027777777779</v>
      </c>
    </row>
    <row r="29" spans="1:17" x14ac:dyDescent="0.25">
      <c r="A29" s="9" t="s">
        <v>39</v>
      </c>
      <c r="B29" s="10">
        <v>18</v>
      </c>
      <c r="C29" s="10">
        <v>6</v>
      </c>
      <c r="D29" s="11">
        <v>30.73</v>
      </c>
      <c r="E29" s="12">
        <v>-23</v>
      </c>
      <c r="F29" s="12">
        <v>-51</v>
      </c>
      <c r="G29" s="12">
        <v>-30.2</v>
      </c>
      <c r="H29" s="13">
        <f t="shared" si="0"/>
        <v>65190.73</v>
      </c>
      <c r="I29" s="14">
        <f t="shared" si="1"/>
        <v>-23.858388888888889</v>
      </c>
      <c r="J29" s="10">
        <v>18</v>
      </c>
      <c r="K29" s="10">
        <v>45</v>
      </c>
      <c r="L29" s="10">
        <v>3.95</v>
      </c>
      <c r="M29" s="12">
        <v>-16</v>
      </c>
      <c r="N29" s="12">
        <v>-11</v>
      </c>
      <c r="O29" s="12">
        <v>-13.8</v>
      </c>
      <c r="P29" s="13">
        <f t="shared" si="2"/>
        <v>67503.95</v>
      </c>
      <c r="Q29" s="14">
        <f t="shared" si="3"/>
        <v>-16.187166666666666</v>
      </c>
    </row>
    <row r="30" spans="1:17" x14ac:dyDescent="0.25">
      <c r="A30" s="9" t="s">
        <v>40</v>
      </c>
      <c r="B30" s="10">
        <v>18</v>
      </c>
      <c r="C30" s="10">
        <v>9</v>
      </c>
      <c r="D30" s="11">
        <v>41.58</v>
      </c>
      <c r="E30" s="12">
        <v>-23</v>
      </c>
      <c r="F30" s="12">
        <v>-51</v>
      </c>
      <c r="G30" s="12">
        <v>-36.4</v>
      </c>
      <c r="H30" s="13">
        <f t="shared" si="0"/>
        <v>65381.58</v>
      </c>
      <c r="I30" s="14">
        <f t="shared" si="1"/>
        <v>-23.860111111111109</v>
      </c>
      <c r="J30" s="10">
        <v>18</v>
      </c>
      <c r="K30" s="10">
        <v>44</v>
      </c>
      <c r="L30" s="10">
        <v>44.95</v>
      </c>
      <c r="M30" s="12">
        <v>-16</v>
      </c>
      <c r="N30" s="12">
        <v>-11</v>
      </c>
      <c r="O30" s="12">
        <v>-36.5</v>
      </c>
      <c r="P30" s="13">
        <f t="shared" si="2"/>
        <v>67484.95</v>
      </c>
      <c r="Q30" s="14">
        <f t="shared" si="3"/>
        <v>-16.193472222222223</v>
      </c>
    </row>
    <row r="31" spans="1:17" x14ac:dyDescent="0.25">
      <c r="A31" s="9" t="s">
        <v>41</v>
      </c>
      <c r="B31" s="10">
        <v>18</v>
      </c>
      <c r="C31" s="10">
        <v>12</v>
      </c>
      <c r="D31" s="11">
        <v>52.59</v>
      </c>
      <c r="E31" s="12">
        <v>-23</v>
      </c>
      <c r="F31" s="12">
        <v>-51</v>
      </c>
      <c r="G31" s="12">
        <v>-28.3</v>
      </c>
      <c r="H31" s="13">
        <f t="shared" si="0"/>
        <v>65572.59</v>
      </c>
      <c r="I31" s="14">
        <f t="shared" si="1"/>
        <v>-23.857861111111109</v>
      </c>
      <c r="J31" s="10">
        <v>18</v>
      </c>
      <c r="K31" s="10">
        <v>44</v>
      </c>
      <c r="L31" s="10">
        <v>36.35</v>
      </c>
      <c r="M31" s="12">
        <v>-16</v>
      </c>
      <c r="N31" s="12">
        <v>-12</v>
      </c>
      <c r="O31" s="12">
        <v>-19.899999999999999</v>
      </c>
      <c r="P31" s="13">
        <f t="shared" si="2"/>
        <v>67476.350000000006</v>
      </c>
      <c r="Q31" s="14">
        <f t="shared" si="3"/>
        <v>-16.205527777777778</v>
      </c>
    </row>
    <row r="32" spans="1:17" x14ac:dyDescent="0.25">
      <c r="A32" s="9" t="s">
        <v>42</v>
      </c>
      <c r="B32" s="10">
        <v>18</v>
      </c>
      <c r="C32" s="10">
        <v>16</v>
      </c>
      <c r="D32" s="11">
        <v>3.74</v>
      </c>
      <c r="E32" s="12">
        <v>-23</v>
      </c>
      <c r="F32" s="12">
        <v>-51</v>
      </c>
      <c r="G32" s="12">
        <v>-5.7</v>
      </c>
      <c r="H32" s="13">
        <f t="shared" si="0"/>
        <v>65763.740000000005</v>
      </c>
      <c r="I32" s="14">
        <f t="shared" si="1"/>
        <v>-23.851583333333334</v>
      </c>
      <c r="J32" s="10">
        <v>18</v>
      </c>
      <c r="K32" s="10">
        <v>44</v>
      </c>
      <c r="L32" s="10">
        <v>38.01</v>
      </c>
      <c r="M32" s="12">
        <v>-16</v>
      </c>
      <c r="N32" s="12">
        <v>-13</v>
      </c>
      <c r="O32" s="12">
        <v>-22.3</v>
      </c>
      <c r="P32" s="13">
        <f t="shared" si="2"/>
        <v>67478.009999999995</v>
      </c>
      <c r="Q32" s="14">
        <f t="shared" si="3"/>
        <v>-16.222861111111108</v>
      </c>
    </row>
    <row r="33" spans="1:17" x14ac:dyDescent="0.25">
      <c r="A33" s="9" t="s">
        <v>43</v>
      </c>
      <c r="B33" s="10">
        <v>18</v>
      </c>
      <c r="C33" s="10">
        <v>19</v>
      </c>
      <c r="D33" s="11">
        <v>15.03</v>
      </c>
      <c r="E33" s="12">
        <v>-23</v>
      </c>
      <c r="F33" s="12">
        <v>-50</v>
      </c>
      <c r="G33" s="12">
        <v>-28.7</v>
      </c>
      <c r="H33" s="13">
        <f t="shared" si="0"/>
        <v>65955.03</v>
      </c>
      <c r="I33" s="14">
        <f t="shared" si="1"/>
        <v>-23.841305555555557</v>
      </c>
      <c r="J33" s="10">
        <v>18</v>
      </c>
      <c r="K33" s="10">
        <v>44</v>
      </c>
      <c r="L33" s="10">
        <v>49.75</v>
      </c>
      <c r="M33" s="12">
        <v>-16</v>
      </c>
      <c r="N33" s="12">
        <v>-14</v>
      </c>
      <c r="O33" s="12">
        <v>-42.1</v>
      </c>
      <c r="P33" s="13">
        <f t="shared" si="2"/>
        <v>67489.75</v>
      </c>
      <c r="Q33" s="14">
        <f t="shared" si="3"/>
        <v>-16.245027777777779</v>
      </c>
    </row>
    <row r="34" spans="1:17" x14ac:dyDescent="0.25">
      <c r="A34" s="9" t="s">
        <v>44</v>
      </c>
      <c r="B34" s="10">
        <v>18</v>
      </c>
      <c r="C34" s="10">
        <v>22</v>
      </c>
      <c r="D34" s="11">
        <v>26.42</v>
      </c>
      <c r="E34" s="12">
        <v>-23</v>
      </c>
      <c r="F34" s="12">
        <v>-49</v>
      </c>
      <c r="G34" s="12">
        <v>-37.200000000000003</v>
      </c>
      <c r="H34" s="13">
        <f t="shared" si="0"/>
        <v>66146.42</v>
      </c>
      <c r="I34" s="14">
        <f t="shared" si="1"/>
        <v>-23.826999999999998</v>
      </c>
      <c r="J34" s="10">
        <v>18</v>
      </c>
      <c r="K34" s="10">
        <v>45</v>
      </c>
      <c r="L34" s="10">
        <v>11.38</v>
      </c>
      <c r="M34" s="12">
        <v>-16</v>
      </c>
      <c r="N34" s="12">
        <v>-16</v>
      </c>
      <c r="O34" s="12">
        <v>-17.600000000000001</v>
      </c>
      <c r="P34" s="13">
        <f t="shared" si="2"/>
        <v>67511.38</v>
      </c>
      <c r="Q34" s="14">
        <f t="shared" si="3"/>
        <v>-16.271555555555555</v>
      </c>
    </row>
    <row r="35" spans="1:17" x14ac:dyDescent="0.25">
      <c r="A35" s="9" t="s">
        <v>45</v>
      </c>
      <c r="B35" s="10">
        <v>18</v>
      </c>
      <c r="C35" s="10">
        <v>25</v>
      </c>
      <c r="D35" s="11">
        <v>37.909999999999997</v>
      </c>
      <c r="E35" s="12">
        <v>-23</v>
      </c>
      <c r="F35" s="12">
        <v>-48</v>
      </c>
      <c r="G35" s="12">
        <v>-31.2</v>
      </c>
      <c r="H35" s="13">
        <f t="shared" si="0"/>
        <v>66337.91</v>
      </c>
      <c r="I35" s="14">
        <f t="shared" si="1"/>
        <v>-23.808666666666667</v>
      </c>
      <c r="J35" s="10">
        <v>18</v>
      </c>
      <c r="K35" s="10">
        <v>45</v>
      </c>
      <c r="L35" s="10">
        <v>42.67</v>
      </c>
      <c r="M35" s="12">
        <v>-16</v>
      </c>
      <c r="N35" s="12">
        <v>-18</v>
      </c>
      <c r="O35" s="12">
        <v>-6.9</v>
      </c>
      <c r="P35" s="13">
        <f t="shared" si="2"/>
        <v>67542.67</v>
      </c>
      <c r="Q35" s="14">
        <f t="shared" si="3"/>
        <v>-16.301916666666667</v>
      </c>
    </row>
    <row r="36" spans="1:17" x14ac:dyDescent="0.25">
      <c r="A36" s="9" t="s">
        <v>46</v>
      </c>
      <c r="B36" s="10">
        <v>18</v>
      </c>
      <c r="C36" s="10">
        <v>28</v>
      </c>
      <c r="D36" s="11">
        <v>49.49</v>
      </c>
      <c r="E36" s="12">
        <v>-23</v>
      </c>
      <c r="F36" s="12">
        <v>-47</v>
      </c>
      <c r="G36" s="12">
        <v>-10.7</v>
      </c>
      <c r="H36" s="13">
        <f t="shared" si="0"/>
        <v>66529.490000000005</v>
      </c>
      <c r="I36" s="14">
        <f t="shared" si="1"/>
        <v>-23.786305555555554</v>
      </c>
      <c r="J36" s="10">
        <v>18</v>
      </c>
      <c r="K36" s="10">
        <v>46</v>
      </c>
      <c r="L36" s="10">
        <v>23.4</v>
      </c>
      <c r="M36" s="12">
        <v>-16</v>
      </c>
      <c r="N36" s="12">
        <v>-20</v>
      </c>
      <c r="O36" s="12">
        <v>-8.3000000000000007</v>
      </c>
      <c r="P36" s="13">
        <f t="shared" si="2"/>
        <v>67583.399999999994</v>
      </c>
      <c r="Q36" s="14">
        <f t="shared" si="3"/>
        <v>-16.335638888888887</v>
      </c>
    </row>
    <row r="37" spans="1:17" x14ac:dyDescent="0.25">
      <c r="A37" s="9" t="s">
        <v>47</v>
      </c>
      <c r="B37" s="10">
        <v>18</v>
      </c>
      <c r="C37" s="10">
        <v>32</v>
      </c>
      <c r="D37" s="11">
        <v>1.1299999999999999</v>
      </c>
      <c r="E37" s="12">
        <v>-23</v>
      </c>
      <c r="F37" s="12">
        <v>-45</v>
      </c>
      <c r="G37" s="12">
        <v>-35.799999999999997</v>
      </c>
      <c r="H37" s="13">
        <f t="shared" si="0"/>
        <v>66721.13</v>
      </c>
      <c r="I37" s="14">
        <f t="shared" si="1"/>
        <v>-23.759944444444443</v>
      </c>
      <c r="J37" s="10">
        <v>18</v>
      </c>
      <c r="K37" s="10">
        <v>47</v>
      </c>
      <c r="L37" s="10">
        <v>13.31</v>
      </c>
      <c r="M37" s="12">
        <v>-16</v>
      </c>
      <c r="N37" s="12">
        <v>-22</v>
      </c>
      <c r="O37" s="12">
        <v>-20.100000000000001</v>
      </c>
      <c r="P37" s="13">
        <f t="shared" si="2"/>
        <v>67633.31</v>
      </c>
      <c r="Q37" s="14">
        <f t="shared" si="3"/>
        <v>-16.372250000000001</v>
      </c>
    </row>
    <row r="38" spans="1:17" x14ac:dyDescent="0.25">
      <c r="A38" s="9" t="s">
        <v>48</v>
      </c>
      <c r="B38" s="10">
        <v>18</v>
      </c>
      <c r="C38" s="10">
        <v>35</v>
      </c>
      <c r="D38" s="11">
        <v>12.83</v>
      </c>
      <c r="E38" s="12">
        <v>-23</v>
      </c>
      <c r="F38" s="12">
        <v>-43</v>
      </c>
      <c r="G38" s="12">
        <v>-46.3</v>
      </c>
      <c r="H38" s="13">
        <f t="shared" si="0"/>
        <v>66912.83</v>
      </c>
      <c r="I38" s="14">
        <f t="shared" si="1"/>
        <v>-23.729527777777779</v>
      </c>
      <c r="J38" s="10">
        <v>18</v>
      </c>
      <c r="K38" s="10">
        <v>48</v>
      </c>
      <c r="L38" s="10">
        <v>12.17</v>
      </c>
      <c r="M38" s="12">
        <v>-16</v>
      </c>
      <c r="N38" s="12">
        <v>-24</v>
      </c>
      <c r="O38" s="12">
        <v>-40.6</v>
      </c>
      <c r="P38" s="13">
        <f t="shared" si="2"/>
        <v>67692.17</v>
      </c>
      <c r="Q38" s="14">
        <f t="shared" si="3"/>
        <v>-16.411277777777777</v>
      </c>
    </row>
    <row r="39" spans="1:17" x14ac:dyDescent="0.25">
      <c r="A39" s="9" t="s">
        <v>49</v>
      </c>
      <c r="B39" s="10">
        <v>18</v>
      </c>
      <c r="C39" s="10">
        <v>38</v>
      </c>
      <c r="D39" s="11">
        <v>24.57</v>
      </c>
      <c r="E39" s="12">
        <v>-23</v>
      </c>
      <c r="F39" s="12">
        <v>-41</v>
      </c>
      <c r="G39" s="12">
        <v>-42.3</v>
      </c>
      <c r="H39" s="13">
        <f t="shared" si="0"/>
        <v>67104.570000000007</v>
      </c>
      <c r="I39" s="14">
        <f t="shared" si="1"/>
        <v>-23.695083333333333</v>
      </c>
      <c r="J39" s="10">
        <v>18</v>
      </c>
      <c r="K39" s="10">
        <v>49</v>
      </c>
      <c r="L39" s="10">
        <v>19.72</v>
      </c>
      <c r="M39" s="12">
        <v>-16</v>
      </c>
      <c r="N39" s="12">
        <v>-27</v>
      </c>
      <c r="O39" s="12">
        <v>-7.9</v>
      </c>
      <c r="P39" s="13">
        <f t="shared" si="2"/>
        <v>67759.72</v>
      </c>
      <c r="Q39" s="14">
        <f t="shared" si="3"/>
        <v>-16.452194444444444</v>
      </c>
    </row>
    <row r="40" spans="1:17" x14ac:dyDescent="0.25">
      <c r="A40" s="9" t="s">
        <v>50</v>
      </c>
      <c r="B40" s="10">
        <v>18</v>
      </c>
      <c r="C40" s="10">
        <v>41</v>
      </c>
      <c r="D40" s="11">
        <v>36.340000000000003</v>
      </c>
      <c r="E40" s="12">
        <v>-23</v>
      </c>
      <c r="F40" s="12">
        <v>-39</v>
      </c>
      <c r="G40" s="12">
        <v>-23.9</v>
      </c>
      <c r="H40" s="13">
        <f t="shared" si="0"/>
        <v>67296.34</v>
      </c>
      <c r="I40" s="14">
        <f t="shared" si="1"/>
        <v>-23.656638888888889</v>
      </c>
      <c r="J40" s="10">
        <v>18</v>
      </c>
      <c r="K40" s="10">
        <v>50</v>
      </c>
      <c r="L40" s="10">
        <v>35.700000000000003</v>
      </c>
      <c r="M40" s="12">
        <v>-16</v>
      </c>
      <c r="N40" s="12">
        <v>-29</v>
      </c>
      <c r="O40" s="12">
        <v>-40.4</v>
      </c>
      <c r="P40" s="13">
        <f t="shared" si="2"/>
        <v>67835.7</v>
      </c>
      <c r="Q40" s="14">
        <f t="shared" si="3"/>
        <v>-16.494555555555557</v>
      </c>
    </row>
    <row r="41" spans="1:17" x14ac:dyDescent="0.25">
      <c r="A41" s="9" t="s">
        <v>51</v>
      </c>
      <c r="B41" s="10">
        <v>18</v>
      </c>
      <c r="C41" s="10">
        <v>44</v>
      </c>
      <c r="D41" s="11">
        <v>48.13</v>
      </c>
      <c r="E41" s="12">
        <v>-23</v>
      </c>
      <c r="F41" s="12">
        <v>-36</v>
      </c>
      <c r="G41" s="12">
        <v>-51</v>
      </c>
      <c r="H41" s="13">
        <f t="shared" si="0"/>
        <v>67488.13</v>
      </c>
      <c r="I41" s="14">
        <f t="shared" si="1"/>
        <v>-23.614166666666666</v>
      </c>
      <c r="J41" s="10">
        <v>18</v>
      </c>
      <c r="K41" s="10">
        <v>51</v>
      </c>
      <c r="L41" s="10">
        <v>59.85</v>
      </c>
      <c r="M41" s="12">
        <v>-16</v>
      </c>
      <c r="N41" s="12">
        <v>-32</v>
      </c>
      <c r="O41" s="12">
        <v>-16.3</v>
      </c>
      <c r="P41" s="13">
        <f t="shared" si="2"/>
        <v>67919.850000000006</v>
      </c>
      <c r="Q41" s="14">
        <f t="shared" si="3"/>
        <v>-16.537861111111113</v>
      </c>
    </row>
    <row r="42" spans="1:17" x14ac:dyDescent="0.25">
      <c r="A42" s="9" t="s">
        <v>52</v>
      </c>
      <c r="B42" s="10">
        <v>18</v>
      </c>
      <c r="C42" s="10">
        <v>47</v>
      </c>
      <c r="D42" s="11">
        <v>59.93</v>
      </c>
      <c r="E42" s="12">
        <v>-23</v>
      </c>
      <c r="F42" s="12">
        <v>-34</v>
      </c>
      <c r="G42" s="12">
        <v>-3.6</v>
      </c>
      <c r="H42" s="13">
        <f t="shared" si="0"/>
        <v>67679.929999999993</v>
      </c>
      <c r="I42" s="14">
        <f t="shared" si="1"/>
        <v>-23.567666666666668</v>
      </c>
      <c r="J42" s="10">
        <v>18</v>
      </c>
      <c r="K42" s="10">
        <v>53</v>
      </c>
      <c r="L42" s="10">
        <v>31.92</v>
      </c>
      <c r="M42" s="12">
        <v>-16</v>
      </c>
      <c r="N42" s="12">
        <v>-34</v>
      </c>
      <c r="O42" s="12">
        <v>-53.9</v>
      </c>
      <c r="P42" s="13">
        <f t="shared" si="2"/>
        <v>68011.92</v>
      </c>
      <c r="Q42" s="14">
        <f t="shared" si="3"/>
        <v>-16.581638888888889</v>
      </c>
    </row>
    <row r="43" spans="1:17" x14ac:dyDescent="0.25">
      <c r="A43" s="9" t="s">
        <v>53</v>
      </c>
      <c r="B43" s="10">
        <v>18</v>
      </c>
      <c r="C43" s="10">
        <v>51</v>
      </c>
      <c r="D43" s="11">
        <v>11.72</v>
      </c>
      <c r="E43" s="12">
        <v>-23</v>
      </c>
      <c r="F43" s="12">
        <v>-31</v>
      </c>
      <c r="G43" s="12">
        <v>-1.7</v>
      </c>
      <c r="H43" s="13">
        <f t="shared" si="0"/>
        <v>67871.72</v>
      </c>
      <c r="I43" s="14">
        <f t="shared" si="1"/>
        <v>-23.517138888888891</v>
      </c>
      <c r="J43" s="10">
        <v>18</v>
      </c>
      <c r="K43" s="10">
        <v>55</v>
      </c>
      <c r="L43" s="10">
        <v>11.65</v>
      </c>
      <c r="M43" s="12">
        <v>-16</v>
      </c>
      <c r="N43" s="12">
        <v>-37</v>
      </c>
      <c r="O43" s="12">
        <v>-31.6</v>
      </c>
      <c r="P43" s="13">
        <f t="shared" si="2"/>
        <v>68111.649999999994</v>
      </c>
      <c r="Q43" s="14">
        <f t="shared" si="3"/>
        <v>-16.625444444444444</v>
      </c>
    </row>
    <row r="44" spans="1:17" x14ac:dyDescent="0.25">
      <c r="A44" s="9" t="s">
        <v>54</v>
      </c>
      <c r="B44" s="10">
        <v>18</v>
      </c>
      <c r="C44" s="10">
        <v>54</v>
      </c>
      <c r="D44" s="11">
        <v>23.5</v>
      </c>
      <c r="E44" s="12">
        <v>-23</v>
      </c>
      <c r="F44" s="12">
        <v>-27</v>
      </c>
      <c r="G44" s="12">
        <v>-45.5</v>
      </c>
      <c r="H44" s="13">
        <f t="shared" si="0"/>
        <v>68063.5</v>
      </c>
      <c r="I44" s="14">
        <f t="shared" si="1"/>
        <v>-23.46263888888889</v>
      </c>
      <c r="J44" s="10">
        <v>18</v>
      </c>
      <c r="K44" s="10">
        <v>56</v>
      </c>
      <c r="L44" s="10">
        <v>58.78</v>
      </c>
      <c r="M44" s="12">
        <v>-16</v>
      </c>
      <c r="N44" s="12">
        <v>-40</v>
      </c>
      <c r="O44" s="12">
        <v>-7.7</v>
      </c>
      <c r="P44" s="13">
        <f t="shared" si="2"/>
        <v>68218.78</v>
      </c>
      <c r="Q44" s="14">
        <f t="shared" si="3"/>
        <v>-16.668805555555558</v>
      </c>
    </row>
    <row r="45" spans="1:17" x14ac:dyDescent="0.25">
      <c r="A45" s="9" t="s">
        <v>55</v>
      </c>
      <c r="B45" s="10">
        <v>18</v>
      </c>
      <c r="C45" s="10">
        <v>57</v>
      </c>
      <c r="D45" s="11">
        <v>35.25</v>
      </c>
      <c r="E45" s="12">
        <v>-23</v>
      </c>
      <c r="F45" s="12">
        <v>-24</v>
      </c>
      <c r="G45" s="12">
        <v>-14.8</v>
      </c>
      <c r="H45" s="13">
        <f t="shared" si="0"/>
        <v>68255.25</v>
      </c>
      <c r="I45" s="14">
        <f t="shared" si="1"/>
        <v>-23.40411111111111</v>
      </c>
      <c r="J45" s="10">
        <v>18</v>
      </c>
      <c r="K45" s="10">
        <v>58</v>
      </c>
      <c r="L45" s="10">
        <v>53.06</v>
      </c>
      <c r="M45" s="12">
        <v>-16</v>
      </c>
      <c r="N45" s="12">
        <v>-42</v>
      </c>
      <c r="O45" s="12">
        <v>-40.6</v>
      </c>
      <c r="P45" s="13">
        <f t="shared" si="2"/>
        <v>68333.06</v>
      </c>
      <c r="Q45" s="14">
        <f t="shared" si="3"/>
        <v>-16.711277777777777</v>
      </c>
    </row>
    <row r="46" spans="1:17" x14ac:dyDescent="0.25">
      <c r="A46" s="9" t="s">
        <v>56</v>
      </c>
      <c r="B46" s="10">
        <v>19</v>
      </c>
      <c r="C46" s="10">
        <v>0</v>
      </c>
      <c r="D46" s="11">
        <v>46.96</v>
      </c>
      <c r="E46" s="12">
        <v>-23</v>
      </c>
      <c r="F46" s="12">
        <v>-20</v>
      </c>
      <c r="G46" s="12">
        <v>-29.8</v>
      </c>
      <c r="H46" s="13">
        <f t="shared" si="0"/>
        <v>68446.960000000006</v>
      </c>
      <c r="I46" s="14">
        <f t="shared" si="1"/>
        <v>-23.34161111111111</v>
      </c>
      <c r="J46" s="10">
        <v>19</v>
      </c>
      <c r="K46" s="10">
        <v>0</v>
      </c>
      <c r="L46" s="10">
        <v>54.25</v>
      </c>
      <c r="M46" s="12">
        <v>-16</v>
      </c>
      <c r="N46" s="12">
        <v>-45</v>
      </c>
      <c r="O46" s="12">
        <v>-8.9</v>
      </c>
      <c r="P46" s="13">
        <f t="shared" si="2"/>
        <v>68454.25</v>
      </c>
      <c r="Q46" s="14">
        <f t="shared" si="3"/>
        <v>-16.752472222222224</v>
      </c>
    </row>
    <row r="47" spans="1:17" x14ac:dyDescent="0.25">
      <c r="A47" s="9" t="s">
        <v>57</v>
      </c>
      <c r="B47" s="10">
        <v>19</v>
      </c>
      <c r="C47" s="10">
        <v>3</v>
      </c>
      <c r="D47" s="11">
        <v>58.63</v>
      </c>
      <c r="E47" s="12">
        <v>-23</v>
      </c>
      <c r="F47" s="12">
        <v>-16</v>
      </c>
      <c r="G47" s="12">
        <v>-30.4</v>
      </c>
      <c r="H47" s="13">
        <f t="shared" si="0"/>
        <v>68638.63</v>
      </c>
      <c r="I47" s="14">
        <f t="shared" si="1"/>
        <v>-23.275111111111112</v>
      </c>
      <c r="J47" s="10">
        <v>19</v>
      </c>
      <c r="K47" s="10">
        <v>3</v>
      </c>
      <c r="L47" s="10">
        <v>2.09</v>
      </c>
      <c r="M47" s="12">
        <v>-16</v>
      </c>
      <c r="N47" s="12">
        <v>-47</v>
      </c>
      <c r="O47" s="12">
        <v>-30.9</v>
      </c>
      <c r="P47" s="13">
        <f t="shared" si="2"/>
        <v>68582.09</v>
      </c>
      <c r="Q47" s="14">
        <f t="shared" si="3"/>
        <v>-16.791916666666669</v>
      </c>
    </row>
    <row r="48" spans="1:17" x14ac:dyDescent="0.25">
      <c r="A48" s="9" t="s">
        <v>58</v>
      </c>
      <c r="B48" s="10">
        <v>19</v>
      </c>
      <c r="C48" s="10">
        <v>7</v>
      </c>
      <c r="D48" s="11">
        <v>10.25</v>
      </c>
      <c r="E48" s="12">
        <v>-23</v>
      </c>
      <c r="F48" s="12">
        <v>-12</v>
      </c>
      <c r="G48" s="12">
        <v>-16.8</v>
      </c>
      <c r="H48" s="13">
        <f t="shared" si="0"/>
        <v>68830.25</v>
      </c>
      <c r="I48" s="14">
        <f t="shared" si="1"/>
        <v>-23.204666666666668</v>
      </c>
      <c r="J48" s="10">
        <v>19</v>
      </c>
      <c r="K48" s="10">
        <v>5</v>
      </c>
      <c r="L48" s="10">
        <v>16.350000000000001</v>
      </c>
      <c r="M48" s="12">
        <v>-16</v>
      </c>
      <c r="N48" s="12">
        <v>-49</v>
      </c>
      <c r="O48" s="12">
        <v>-45.2</v>
      </c>
      <c r="P48" s="13">
        <f t="shared" si="2"/>
        <v>68716.350000000006</v>
      </c>
      <c r="Q48" s="14">
        <f t="shared" si="3"/>
        <v>-16.829222222222221</v>
      </c>
    </row>
    <row r="49" spans="1:17" x14ac:dyDescent="0.25">
      <c r="A49" s="9" t="s">
        <v>59</v>
      </c>
      <c r="B49" s="10">
        <v>19</v>
      </c>
      <c r="C49" s="10">
        <v>10</v>
      </c>
      <c r="D49" s="11">
        <v>21.79</v>
      </c>
      <c r="E49" s="12">
        <v>-23</v>
      </c>
      <c r="F49" s="12">
        <v>-7</v>
      </c>
      <c r="G49" s="12">
        <v>-48.9</v>
      </c>
      <c r="H49" s="13">
        <f t="shared" si="0"/>
        <v>69021.789999999994</v>
      </c>
      <c r="I49" s="14">
        <f t="shared" si="1"/>
        <v>-23.13025</v>
      </c>
      <c r="J49" s="10">
        <v>19</v>
      </c>
      <c r="K49" s="10">
        <v>7</v>
      </c>
      <c r="L49" s="10">
        <v>36.79</v>
      </c>
      <c r="M49" s="12">
        <v>-16</v>
      </c>
      <c r="N49" s="12">
        <v>-51</v>
      </c>
      <c r="O49" s="12">
        <v>-50.4</v>
      </c>
      <c r="P49" s="13">
        <f t="shared" si="2"/>
        <v>68856.789999999994</v>
      </c>
      <c r="Q49" s="14">
        <f t="shared" si="3"/>
        <v>-16.864000000000001</v>
      </c>
    </row>
    <row r="50" spans="1:17" x14ac:dyDescent="0.25">
      <c r="A50" s="9" t="s">
        <v>60</v>
      </c>
      <c r="B50" s="10">
        <v>19</v>
      </c>
      <c r="C50" s="10">
        <v>13</v>
      </c>
      <c r="D50" s="11">
        <v>33.26</v>
      </c>
      <c r="E50" s="12">
        <v>-23</v>
      </c>
      <c r="F50" s="12">
        <v>-3</v>
      </c>
      <c r="G50" s="12">
        <v>-6.7</v>
      </c>
      <c r="H50" s="13">
        <f t="shared" si="0"/>
        <v>69213.259999999995</v>
      </c>
      <c r="I50" s="14">
        <f t="shared" si="1"/>
        <v>-23.051861111111112</v>
      </c>
      <c r="J50" s="10">
        <v>19</v>
      </c>
      <c r="K50" s="10">
        <v>10</v>
      </c>
      <c r="L50" s="10">
        <v>3.18</v>
      </c>
      <c r="M50" s="12">
        <v>-16</v>
      </c>
      <c r="N50" s="12">
        <v>-53</v>
      </c>
      <c r="O50" s="12">
        <v>-45.1</v>
      </c>
      <c r="P50" s="13">
        <f t="shared" si="2"/>
        <v>69003.179999999993</v>
      </c>
      <c r="Q50" s="14">
        <f t="shared" si="3"/>
        <v>-16.89586111111111</v>
      </c>
    </row>
    <row r="51" spans="1:17" x14ac:dyDescent="0.25">
      <c r="A51" s="9" t="s">
        <v>61</v>
      </c>
      <c r="B51" s="10">
        <v>19</v>
      </c>
      <c r="C51" s="10">
        <v>16</v>
      </c>
      <c r="D51" s="11">
        <v>44.65</v>
      </c>
      <c r="E51" s="12">
        <v>-22</v>
      </c>
      <c r="F51" s="12">
        <v>-58</v>
      </c>
      <c r="G51" s="12">
        <v>-10.4</v>
      </c>
      <c r="H51" s="13">
        <f t="shared" si="0"/>
        <v>69404.649999999994</v>
      </c>
      <c r="I51" s="14">
        <f t="shared" si="1"/>
        <v>-22.969555555555555</v>
      </c>
      <c r="J51" s="10">
        <v>19</v>
      </c>
      <c r="K51" s="10">
        <v>12</v>
      </c>
      <c r="L51" s="10">
        <v>35.299999999999997</v>
      </c>
      <c r="M51" s="12">
        <v>-16</v>
      </c>
      <c r="N51" s="12">
        <v>-55</v>
      </c>
      <c r="O51" s="12">
        <v>-28</v>
      </c>
      <c r="P51" s="13">
        <f t="shared" si="2"/>
        <v>69155.3</v>
      </c>
      <c r="Q51" s="14">
        <f t="shared" si="3"/>
        <v>-16.924444444444447</v>
      </c>
    </row>
    <row r="52" spans="1:17" x14ac:dyDescent="0.25">
      <c r="A52" s="9" t="s">
        <v>62</v>
      </c>
      <c r="B52" s="10">
        <v>19</v>
      </c>
      <c r="C52" s="10">
        <v>19</v>
      </c>
      <c r="D52" s="11">
        <v>55.94</v>
      </c>
      <c r="E52" s="12">
        <v>-22</v>
      </c>
      <c r="F52" s="12">
        <v>-52</v>
      </c>
      <c r="G52" s="12">
        <v>-59.9</v>
      </c>
      <c r="H52" s="13">
        <f t="shared" si="0"/>
        <v>69595.94</v>
      </c>
      <c r="I52" s="14">
        <f t="shared" si="1"/>
        <v>-22.883305555555555</v>
      </c>
      <c r="J52" s="10">
        <v>19</v>
      </c>
      <c r="K52" s="10">
        <v>15</v>
      </c>
      <c r="L52" s="10">
        <v>12.91</v>
      </c>
      <c r="M52" s="12">
        <v>-16</v>
      </c>
      <c r="N52" s="12">
        <v>-56</v>
      </c>
      <c r="O52" s="12">
        <v>-57.8</v>
      </c>
      <c r="P52" s="13">
        <f t="shared" si="2"/>
        <v>69312.91</v>
      </c>
      <c r="Q52" s="14">
        <f t="shared" si="3"/>
        <v>-16.94938888888889</v>
      </c>
    </row>
    <row r="53" spans="1:17" x14ac:dyDescent="0.25">
      <c r="A53" s="9" t="s">
        <v>63</v>
      </c>
      <c r="B53" s="10">
        <v>19</v>
      </c>
      <c r="C53" s="10">
        <v>23</v>
      </c>
      <c r="D53" s="11">
        <v>7.12</v>
      </c>
      <c r="E53" s="12">
        <v>-22</v>
      </c>
      <c r="F53" s="12">
        <v>-47</v>
      </c>
      <c r="G53" s="12">
        <v>-35.4</v>
      </c>
      <c r="H53" s="13">
        <f t="shared" si="0"/>
        <v>69787.12</v>
      </c>
      <c r="I53" s="14">
        <f t="shared" si="1"/>
        <v>-22.793166666666668</v>
      </c>
      <c r="J53" s="10">
        <v>19</v>
      </c>
      <c r="K53" s="10">
        <v>17</v>
      </c>
      <c r="L53" s="10">
        <v>55.81</v>
      </c>
      <c r="M53" s="12">
        <v>-16</v>
      </c>
      <c r="N53" s="12">
        <v>-58</v>
      </c>
      <c r="O53" s="12">
        <v>-13.4</v>
      </c>
      <c r="P53" s="13">
        <f t="shared" si="2"/>
        <v>69475.81</v>
      </c>
      <c r="Q53" s="14">
        <f t="shared" si="3"/>
        <v>-16.970388888888888</v>
      </c>
    </row>
    <row r="54" spans="1:17" x14ac:dyDescent="0.25">
      <c r="A54" s="9" t="s">
        <v>64</v>
      </c>
      <c r="B54" s="10">
        <v>19</v>
      </c>
      <c r="C54" s="10">
        <v>26</v>
      </c>
      <c r="D54" s="11">
        <v>18.190000000000001</v>
      </c>
      <c r="E54" s="12">
        <v>-22</v>
      </c>
      <c r="F54" s="12">
        <v>-41</v>
      </c>
      <c r="G54" s="12">
        <v>-56.8</v>
      </c>
      <c r="H54" s="13">
        <f t="shared" si="0"/>
        <v>69978.19</v>
      </c>
      <c r="I54" s="14">
        <f t="shared" si="1"/>
        <v>-22.699111111111112</v>
      </c>
      <c r="J54" s="10">
        <v>19</v>
      </c>
      <c r="K54" s="10">
        <v>20</v>
      </c>
      <c r="L54" s="10">
        <v>43.77</v>
      </c>
      <c r="M54" s="12">
        <v>-16</v>
      </c>
      <c r="N54" s="12">
        <v>-59</v>
      </c>
      <c r="O54" s="12">
        <v>-13.4</v>
      </c>
      <c r="P54" s="13">
        <f t="shared" si="2"/>
        <v>69643.77</v>
      </c>
      <c r="Q54" s="14">
        <f t="shared" si="3"/>
        <v>-16.987055555555557</v>
      </c>
    </row>
    <row r="55" spans="1:17" x14ac:dyDescent="0.25">
      <c r="A55" s="9" t="s">
        <v>65</v>
      </c>
      <c r="B55" s="10">
        <v>19</v>
      </c>
      <c r="C55" s="10">
        <v>29</v>
      </c>
      <c r="D55" s="11">
        <v>29.14</v>
      </c>
      <c r="E55" s="12">
        <v>-22</v>
      </c>
      <c r="F55" s="12">
        <v>-36</v>
      </c>
      <c r="G55" s="12">
        <v>-4.2</v>
      </c>
      <c r="H55" s="13">
        <f t="shared" si="0"/>
        <v>70169.14</v>
      </c>
      <c r="I55" s="14">
        <f t="shared" si="1"/>
        <v>-22.601166666666668</v>
      </c>
      <c r="J55" s="10">
        <v>19</v>
      </c>
      <c r="K55" s="10">
        <v>23</v>
      </c>
      <c r="L55" s="10">
        <v>36.6</v>
      </c>
      <c r="M55" s="12">
        <v>-16</v>
      </c>
      <c r="N55" s="12">
        <v>-59</v>
      </c>
      <c r="O55" s="12">
        <v>-56.9</v>
      </c>
      <c r="P55" s="13">
        <f t="shared" si="2"/>
        <v>69816.600000000006</v>
      </c>
      <c r="Q55" s="14">
        <f t="shared" si="3"/>
        <v>-16.99913888888889</v>
      </c>
    </row>
    <row r="56" spans="1:17" x14ac:dyDescent="0.25">
      <c r="A56" s="9" t="s">
        <v>66</v>
      </c>
      <c r="B56" s="10">
        <v>19</v>
      </c>
      <c r="C56" s="10">
        <v>32</v>
      </c>
      <c r="D56" s="11">
        <v>39.94</v>
      </c>
      <c r="E56" s="12">
        <v>-22</v>
      </c>
      <c r="F56" s="12">
        <v>-29</v>
      </c>
      <c r="G56" s="12">
        <v>-57.8</v>
      </c>
      <c r="H56" s="13">
        <f t="shared" si="0"/>
        <v>70359.94</v>
      </c>
      <c r="I56" s="14">
        <f t="shared" si="1"/>
        <v>-22.499388888888888</v>
      </c>
      <c r="J56" s="10">
        <v>19</v>
      </c>
      <c r="K56" s="10">
        <v>26</v>
      </c>
      <c r="L56" s="10">
        <v>34.08</v>
      </c>
      <c r="M56" s="12">
        <v>-17</v>
      </c>
      <c r="N56" s="12">
        <v>0</v>
      </c>
      <c r="O56" s="12">
        <v>-22.8</v>
      </c>
      <c r="P56" s="13">
        <f t="shared" si="2"/>
        <v>69994.080000000002</v>
      </c>
      <c r="Q56" s="14">
        <f t="shared" si="3"/>
        <v>-17.006333333333334</v>
      </c>
    </row>
    <row r="57" spans="1:17" x14ac:dyDescent="0.25">
      <c r="A57" s="9" t="s">
        <v>67</v>
      </c>
      <c r="B57" s="10">
        <v>19</v>
      </c>
      <c r="C57" s="10">
        <v>35</v>
      </c>
      <c r="D57" s="11">
        <v>50.6</v>
      </c>
      <c r="E57" s="12">
        <v>-22</v>
      </c>
      <c r="F57" s="12">
        <v>-23</v>
      </c>
      <c r="G57" s="12">
        <v>-37.5</v>
      </c>
      <c r="H57" s="13">
        <f t="shared" si="0"/>
        <v>70550.600000000006</v>
      </c>
      <c r="I57" s="14">
        <f t="shared" si="1"/>
        <v>-22.393750000000001</v>
      </c>
      <c r="J57" s="10">
        <v>19</v>
      </c>
      <c r="K57" s="10">
        <v>29</v>
      </c>
      <c r="L57" s="10">
        <v>36.01</v>
      </c>
      <c r="M57" s="12">
        <v>-17</v>
      </c>
      <c r="N57" s="12">
        <v>0</v>
      </c>
      <c r="O57" s="12">
        <v>-30</v>
      </c>
      <c r="P57" s="13">
        <f t="shared" si="2"/>
        <v>70176.009999999995</v>
      </c>
      <c r="Q57" s="14">
        <f t="shared" si="3"/>
        <v>-17.008333333333333</v>
      </c>
    </row>
    <row r="58" spans="1:17" x14ac:dyDescent="0.25">
      <c r="A58" s="9" t="s">
        <v>68</v>
      </c>
      <c r="B58" s="10">
        <v>19</v>
      </c>
      <c r="C58" s="10">
        <v>39</v>
      </c>
      <c r="D58" s="11">
        <v>1.1000000000000001</v>
      </c>
      <c r="E58" s="12">
        <v>-22</v>
      </c>
      <c r="F58" s="12">
        <v>-17</v>
      </c>
      <c r="G58" s="12">
        <v>-3.4</v>
      </c>
      <c r="H58" s="13">
        <f t="shared" si="0"/>
        <v>70741.100000000006</v>
      </c>
      <c r="I58" s="14">
        <f t="shared" si="1"/>
        <v>-22.284277777777778</v>
      </c>
      <c r="J58" s="10">
        <v>19</v>
      </c>
      <c r="K58" s="10">
        <v>32</v>
      </c>
      <c r="L58" s="10">
        <v>42.19</v>
      </c>
      <c r="M58" s="12">
        <v>-17</v>
      </c>
      <c r="N58" s="12">
        <v>0</v>
      </c>
      <c r="O58" s="12">
        <v>-17.7</v>
      </c>
      <c r="P58" s="13">
        <f t="shared" si="2"/>
        <v>70362.19</v>
      </c>
      <c r="Q58" s="14">
        <f t="shared" si="3"/>
        <v>-17.004916666666666</v>
      </c>
    </row>
    <row r="59" spans="1:17" x14ac:dyDescent="0.25">
      <c r="A59" s="9" t="s">
        <v>69</v>
      </c>
      <c r="B59" s="10">
        <v>19</v>
      </c>
      <c r="C59" s="10">
        <v>42</v>
      </c>
      <c r="D59" s="11">
        <v>11.43</v>
      </c>
      <c r="E59" s="12">
        <v>-22</v>
      </c>
      <c r="F59" s="12">
        <v>-10</v>
      </c>
      <c r="G59" s="12">
        <v>-15.6</v>
      </c>
      <c r="H59" s="13">
        <f t="shared" si="0"/>
        <v>70931.429999999993</v>
      </c>
      <c r="I59" s="14">
        <f t="shared" si="1"/>
        <v>-22.170999999999999</v>
      </c>
      <c r="J59" s="10">
        <v>19</v>
      </c>
      <c r="K59" s="10">
        <v>35</v>
      </c>
      <c r="L59" s="10">
        <v>52.42</v>
      </c>
      <c r="M59" s="12">
        <v>-16</v>
      </c>
      <c r="N59" s="12">
        <v>-59</v>
      </c>
      <c r="O59" s="12">
        <v>-45</v>
      </c>
      <c r="P59" s="13">
        <f t="shared" si="2"/>
        <v>70552.42</v>
      </c>
      <c r="Q59" s="14">
        <f t="shared" si="3"/>
        <v>-16.995833333333334</v>
      </c>
    </row>
    <row r="60" spans="1:17" x14ac:dyDescent="0.25">
      <c r="A60" s="9" t="s">
        <v>70</v>
      </c>
      <c r="B60" s="10">
        <v>19</v>
      </c>
      <c r="C60" s="10">
        <v>45</v>
      </c>
      <c r="D60" s="11">
        <v>21.58</v>
      </c>
      <c r="E60" s="12">
        <v>-22</v>
      </c>
      <c r="F60" s="12">
        <v>-3</v>
      </c>
      <c r="G60" s="12">
        <v>-14.2</v>
      </c>
      <c r="H60" s="13">
        <f t="shared" si="0"/>
        <v>71121.58</v>
      </c>
      <c r="I60" s="14">
        <f t="shared" si="1"/>
        <v>-22.053944444444443</v>
      </c>
      <c r="J60" s="10">
        <v>19</v>
      </c>
      <c r="K60" s="10">
        <v>39</v>
      </c>
      <c r="L60" s="10">
        <v>6.53</v>
      </c>
      <c r="M60" s="12">
        <v>-16</v>
      </c>
      <c r="N60" s="12">
        <v>-58</v>
      </c>
      <c r="O60" s="12">
        <v>-51.1</v>
      </c>
      <c r="P60" s="13">
        <f t="shared" si="2"/>
        <v>70746.53</v>
      </c>
      <c r="Q60" s="14">
        <f t="shared" si="3"/>
        <v>-16.980861111111111</v>
      </c>
    </row>
    <row r="61" spans="1:17" x14ac:dyDescent="0.25">
      <c r="A61" s="9" t="s">
        <v>71</v>
      </c>
      <c r="B61" s="10">
        <v>19</v>
      </c>
      <c r="C61" s="10">
        <v>48</v>
      </c>
      <c r="D61" s="11">
        <v>31.52</v>
      </c>
      <c r="E61" s="12">
        <v>-21</v>
      </c>
      <c r="F61" s="12">
        <v>-55</v>
      </c>
      <c r="G61" s="12">
        <v>-59.3</v>
      </c>
      <c r="H61" s="13">
        <f t="shared" si="0"/>
        <v>71311.520000000004</v>
      </c>
      <c r="I61" s="14">
        <f t="shared" si="1"/>
        <v>-21.933138888888887</v>
      </c>
      <c r="J61" s="10">
        <v>19</v>
      </c>
      <c r="K61" s="10">
        <v>42</v>
      </c>
      <c r="L61" s="10">
        <v>24.32</v>
      </c>
      <c r="M61" s="12">
        <v>-16</v>
      </c>
      <c r="N61" s="12">
        <v>-57</v>
      </c>
      <c r="O61" s="12">
        <v>-35.200000000000003</v>
      </c>
      <c r="P61" s="13">
        <f t="shared" si="2"/>
        <v>70944.320000000007</v>
      </c>
      <c r="Q61" s="14">
        <f t="shared" si="3"/>
        <v>-16.959777777777777</v>
      </c>
    </row>
    <row r="62" spans="1:17" x14ac:dyDescent="0.25">
      <c r="A62" s="9" t="s">
        <v>72</v>
      </c>
      <c r="B62" s="10">
        <v>19</v>
      </c>
      <c r="C62" s="10">
        <v>51</v>
      </c>
      <c r="D62" s="11">
        <v>41.27</v>
      </c>
      <c r="E62" s="12">
        <v>-21</v>
      </c>
      <c r="F62" s="12">
        <v>-48</v>
      </c>
      <c r="G62" s="12">
        <v>-30.9</v>
      </c>
      <c r="H62" s="13">
        <f t="shared" si="0"/>
        <v>71501.27</v>
      </c>
      <c r="I62" s="14">
        <f t="shared" si="1"/>
        <v>-21.808583333333335</v>
      </c>
      <c r="J62" s="10">
        <v>19</v>
      </c>
      <c r="K62" s="10">
        <v>45</v>
      </c>
      <c r="L62" s="10">
        <v>45.62</v>
      </c>
      <c r="M62" s="12">
        <v>-16</v>
      </c>
      <c r="N62" s="12">
        <v>-55</v>
      </c>
      <c r="O62" s="12">
        <v>-56.6</v>
      </c>
      <c r="P62" s="13">
        <f t="shared" si="2"/>
        <v>71145.62</v>
      </c>
      <c r="Q62" s="14">
        <f t="shared" si="3"/>
        <v>-16.932388888888891</v>
      </c>
    </row>
    <row r="63" spans="1:17" x14ac:dyDescent="0.25">
      <c r="A63" s="9" t="s">
        <v>73</v>
      </c>
      <c r="B63" s="10">
        <v>19</v>
      </c>
      <c r="C63" s="10">
        <v>54</v>
      </c>
      <c r="D63" s="11">
        <v>50.79</v>
      </c>
      <c r="E63" s="12">
        <v>-21</v>
      </c>
      <c r="F63" s="12">
        <v>-40</v>
      </c>
      <c r="G63" s="12">
        <v>-49.2</v>
      </c>
      <c r="H63" s="13">
        <f t="shared" si="0"/>
        <v>71690.789999999994</v>
      </c>
      <c r="I63" s="14">
        <f t="shared" si="1"/>
        <v>-21.680333333333333</v>
      </c>
      <c r="J63" s="10">
        <v>19</v>
      </c>
      <c r="K63" s="10">
        <v>49</v>
      </c>
      <c r="L63" s="10">
        <v>10.25</v>
      </c>
      <c r="M63" s="12">
        <v>-16</v>
      </c>
      <c r="N63" s="12">
        <v>-53</v>
      </c>
      <c r="O63" s="12">
        <v>-54.7</v>
      </c>
      <c r="P63" s="13">
        <f t="shared" si="2"/>
        <v>71350.25</v>
      </c>
      <c r="Q63" s="14">
        <f t="shared" si="3"/>
        <v>-16.898527777777776</v>
      </c>
    </row>
    <row r="64" spans="1:17" x14ac:dyDescent="0.25">
      <c r="A64" s="9" t="s">
        <v>74</v>
      </c>
      <c r="B64" s="10">
        <v>19</v>
      </c>
      <c r="C64" s="10">
        <v>58</v>
      </c>
      <c r="D64" s="11">
        <v>0.08</v>
      </c>
      <c r="E64" s="12">
        <v>-21</v>
      </c>
      <c r="F64" s="12">
        <v>-32</v>
      </c>
      <c r="G64" s="12">
        <v>-54.3</v>
      </c>
      <c r="H64" s="13">
        <f t="shared" si="0"/>
        <v>71880.08</v>
      </c>
      <c r="I64" s="14">
        <f t="shared" si="1"/>
        <v>-21.548416666666668</v>
      </c>
      <c r="J64" s="10">
        <v>19</v>
      </c>
      <c r="K64" s="10">
        <v>52</v>
      </c>
      <c r="L64" s="10">
        <v>38.04</v>
      </c>
      <c r="M64" s="12">
        <v>-16</v>
      </c>
      <c r="N64" s="12">
        <v>-51</v>
      </c>
      <c r="O64" s="12">
        <v>-29</v>
      </c>
      <c r="P64" s="13">
        <f t="shared" si="2"/>
        <v>71558.039999999994</v>
      </c>
      <c r="Q64" s="14">
        <f t="shared" si="3"/>
        <v>-16.858055555555556</v>
      </c>
    </row>
    <row r="65" spans="1:17" x14ac:dyDescent="0.25">
      <c r="A65" s="9" t="s">
        <v>75</v>
      </c>
      <c r="B65" s="10">
        <v>20</v>
      </c>
      <c r="C65" s="10">
        <v>1</v>
      </c>
      <c r="D65" s="11">
        <v>9.1300000000000008</v>
      </c>
      <c r="E65" s="12">
        <v>-21</v>
      </c>
      <c r="F65" s="12">
        <v>-24</v>
      </c>
      <c r="G65" s="12">
        <v>-46.2</v>
      </c>
      <c r="H65" s="13">
        <f t="shared" si="0"/>
        <v>72069.13</v>
      </c>
      <c r="I65" s="14">
        <f t="shared" si="1"/>
        <v>-21.412833333333332</v>
      </c>
      <c r="J65" s="10">
        <v>19</v>
      </c>
      <c r="K65" s="10">
        <v>56</v>
      </c>
      <c r="L65" s="10">
        <v>8.86</v>
      </c>
      <c r="M65" s="12">
        <v>-16</v>
      </c>
      <c r="N65" s="12">
        <v>-48</v>
      </c>
      <c r="O65" s="12">
        <v>-38.799999999999997</v>
      </c>
      <c r="P65" s="13">
        <f t="shared" si="2"/>
        <v>71768.86</v>
      </c>
      <c r="Q65" s="14">
        <f t="shared" si="3"/>
        <v>-16.81077777777778</v>
      </c>
    </row>
    <row r="66" spans="1:17" x14ac:dyDescent="0.25">
      <c r="A66" s="9" t="s">
        <v>76</v>
      </c>
      <c r="B66" s="10">
        <v>20</v>
      </c>
      <c r="C66" s="10">
        <v>4</v>
      </c>
      <c r="D66" s="11">
        <v>17.93</v>
      </c>
      <c r="E66" s="12">
        <v>-21</v>
      </c>
      <c r="F66" s="12">
        <v>-16</v>
      </c>
      <c r="G66" s="12">
        <v>-25.1</v>
      </c>
      <c r="H66" s="13">
        <f t="shared" si="0"/>
        <v>72257.929999999993</v>
      </c>
      <c r="I66" s="14">
        <f t="shared" si="1"/>
        <v>-21.27363888888889</v>
      </c>
      <c r="J66" s="10">
        <v>19</v>
      </c>
      <c r="K66" s="10">
        <v>59</v>
      </c>
      <c r="L66" s="10">
        <v>42.53</v>
      </c>
      <c r="M66" s="12">
        <v>-16</v>
      </c>
      <c r="N66" s="12">
        <v>-45</v>
      </c>
      <c r="O66" s="12">
        <v>-23.7</v>
      </c>
      <c r="P66" s="13">
        <f t="shared" si="2"/>
        <v>71982.53</v>
      </c>
      <c r="Q66" s="14">
        <f t="shared" si="3"/>
        <v>-16.756583333333332</v>
      </c>
    </row>
    <row r="67" spans="1:17" x14ac:dyDescent="0.25">
      <c r="A67" s="9" t="s">
        <v>77</v>
      </c>
      <c r="B67" s="10">
        <v>20</v>
      </c>
      <c r="C67" s="10">
        <v>7</v>
      </c>
      <c r="D67" s="11">
        <v>26.47</v>
      </c>
      <c r="E67" s="12">
        <v>-21</v>
      </c>
      <c r="F67" s="12">
        <v>-7</v>
      </c>
      <c r="G67" s="12">
        <v>-51.1</v>
      </c>
      <c r="H67" s="13">
        <f t="shared" si="0"/>
        <v>72446.47</v>
      </c>
      <c r="I67" s="14">
        <f t="shared" si="1"/>
        <v>-21.130861111111113</v>
      </c>
      <c r="J67" s="10">
        <v>20</v>
      </c>
      <c r="K67" s="10">
        <v>3</v>
      </c>
      <c r="L67" s="10">
        <v>18.920000000000002</v>
      </c>
      <c r="M67" s="12">
        <v>-16</v>
      </c>
      <c r="N67" s="12">
        <v>-41</v>
      </c>
      <c r="O67" s="12">
        <v>-43.2</v>
      </c>
      <c r="P67" s="13">
        <f t="shared" si="2"/>
        <v>72198.92</v>
      </c>
      <c r="Q67" s="14">
        <f t="shared" si="3"/>
        <v>-16.695333333333334</v>
      </c>
    </row>
    <row r="68" spans="1:17" x14ac:dyDescent="0.25">
      <c r="A68" s="9" t="s">
        <v>78</v>
      </c>
      <c r="B68" s="10">
        <v>20</v>
      </c>
      <c r="C68" s="10">
        <v>10</v>
      </c>
      <c r="D68" s="11">
        <v>34.75</v>
      </c>
      <c r="E68" s="12">
        <v>-20</v>
      </c>
      <c r="F68" s="12">
        <v>-59</v>
      </c>
      <c r="G68" s="12">
        <v>-4.3</v>
      </c>
      <c r="H68" s="13">
        <f t="shared" ref="H68:H131" si="4">B68*3600+C68*60+D68</f>
        <v>72634.75</v>
      </c>
      <c r="I68" s="14">
        <f t="shared" ref="I68:I131" si="5">F68/60+G68/3600+E68</f>
        <v>-20.984527777777778</v>
      </c>
      <c r="J68" s="10">
        <v>20</v>
      </c>
      <c r="K68" s="10">
        <v>6</v>
      </c>
      <c r="L68" s="10">
        <v>57.9</v>
      </c>
      <c r="M68" s="12">
        <v>-16</v>
      </c>
      <c r="N68" s="12">
        <v>-37</v>
      </c>
      <c r="O68" s="12">
        <v>-37</v>
      </c>
      <c r="P68" s="13">
        <f t="shared" ref="P68:P131" si="6">J68*3600+K68*60+L68</f>
        <v>72417.899999999994</v>
      </c>
      <c r="Q68" s="14">
        <f t="shared" ref="Q68:Q131" si="7">M68+N68/60+O68/3600</f>
        <v>-16.626944444444444</v>
      </c>
    </row>
    <row r="69" spans="1:17" x14ac:dyDescent="0.25">
      <c r="A69" s="9" t="s">
        <v>79</v>
      </c>
      <c r="B69" s="10">
        <v>20</v>
      </c>
      <c r="C69" s="10">
        <v>13</v>
      </c>
      <c r="D69" s="11">
        <v>42.75</v>
      </c>
      <c r="E69" s="12">
        <v>-20</v>
      </c>
      <c r="F69" s="12">
        <v>-50</v>
      </c>
      <c r="G69" s="12">
        <v>-4.8</v>
      </c>
      <c r="H69" s="13">
        <f t="shared" si="4"/>
        <v>72822.75</v>
      </c>
      <c r="I69" s="14">
        <f t="shared" si="5"/>
        <v>-20.834666666666667</v>
      </c>
      <c r="J69" s="10">
        <v>20</v>
      </c>
      <c r="K69" s="10">
        <v>10</v>
      </c>
      <c r="L69" s="10">
        <v>39.33</v>
      </c>
      <c r="M69" s="12">
        <v>-16</v>
      </c>
      <c r="N69" s="12">
        <v>-33</v>
      </c>
      <c r="O69" s="12">
        <v>-4.5999999999999996</v>
      </c>
      <c r="P69" s="13">
        <f t="shared" si="6"/>
        <v>72639.33</v>
      </c>
      <c r="Q69" s="14">
        <f t="shared" si="7"/>
        <v>-16.551277777777777</v>
      </c>
    </row>
    <row r="70" spans="1:17" x14ac:dyDescent="0.25">
      <c r="A70" s="9" t="s">
        <v>80</v>
      </c>
      <c r="B70" s="10">
        <v>20</v>
      </c>
      <c r="C70" s="10">
        <v>16</v>
      </c>
      <c r="D70" s="11">
        <v>50.47</v>
      </c>
      <c r="E70" s="12">
        <v>-20</v>
      </c>
      <c r="F70" s="12">
        <v>-40</v>
      </c>
      <c r="G70" s="12">
        <v>-52.7</v>
      </c>
      <c r="H70" s="13">
        <f t="shared" si="4"/>
        <v>73010.47</v>
      </c>
      <c r="I70" s="14">
        <f t="shared" si="5"/>
        <v>-20.681305555555557</v>
      </c>
      <c r="J70" s="10">
        <v>20</v>
      </c>
      <c r="K70" s="10">
        <v>14</v>
      </c>
      <c r="L70" s="10">
        <v>23.08</v>
      </c>
      <c r="M70" s="12">
        <v>-16</v>
      </c>
      <c r="N70" s="12">
        <v>-28</v>
      </c>
      <c r="O70" s="12">
        <v>-5.6</v>
      </c>
      <c r="P70" s="13">
        <f t="shared" si="6"/>
        <v>72863.08</v>
      </c>
      <c r="Q70" s="14">
        <f t="shared" si="7"/>
        <v>-16.46822222222222</v>
      </c>
    </row>
    <row r="71" spans="1:17" x14ac:dyDescent="0.25">
      <c r="A71" s="9" t="s">
        <v>81</v>
      </c>
      <c r="B71" s="10">
        <v>20</v>
      </c>
      <c r="C71" s="10">
        <v>19</v>
      </c>
      <c r="D71" s="11">
        <v>57.9</v>
      </c>
      <c r="E71" s="12">
        <v>-20</v>
      </c>
      <c r="F71" s="12">
        <v>-31</v>
      </c>
      <c r="G71" s="12">
        <v>-28.2</v>
      </c>
      <c r="H71" s="13">
        <f t="shared" si="4"/>
        <v>73197.899999999994</v>
      </c>
      <c r="I71" s="14">
        <f t="shared" si="5"/>
        <v>-20.5245</v>
      </c>
      <c r="J71" s="10">
        <v>20</v>
      </c>
      <c r="K71" s="10">
        <v>18</v>
      </c>
      <c r="L71" s="10">
        <v>9.0500000000000007</v>
      </c>
      <c r="M71" s="12">
        <v>-16</v>
      </c>
      <c r="N71" s="12">
        <v>-22</v>
      </c>
      <c r="O71" s="12">
        <v>-39.9</v>
      </c>
      <c r="P71" s="13">
        <f t="shared" si="6"/>
        <v>73089.05</v>
      </c>
      <c r="Q71" s="14">
        <f t="shared" si="7"/>
        <v>-16.377749999999999</v>
      </c>
    </row>
    <row r="72" spans="1:17" x14ac:dyDescent="0.25">
      <c r="A72" s="9" t="s">
        <v>82</v>
      </c>
      <c r="B72" s="10">
        <v>20</v>
      </c>
      <c r="C72" s="10">
        <v>23</v>
      </c>
      <c r="D72" s="11">
        <v>5.05</v>
      </c>
      <c r="E72" s="12">
        <v>-20</v>
      </c>
      <c r="F72" s="12">
        <v>-21</v>
      </c>
      <c r="G72" s="12">
        <v>-51.3</v>
      </c>
      <c r="H72" s="13">
        <f t="shared" si="4"/>
        <v>73385.05</v>
      </c>
      <c r="I72" s="14">
        <f t="shared" si="5"/>
        <v>-20.364249999999998</v>
      </c>
      <c r="J72" s="10">
        <v>20</v>
      </c>
      <c r="K72" s="10">
        <v>21</v>
      </c>
      <c r="L72" s="10">
        <v>57.1</v>
      </c>
      <c r="M72" s="12">
        <v>-16</v>
      </c>
      <c r="N72" s="12">
        <v>-16</v>
      </c>
      <c r="O72" s="12">
        <v>-47.1</v>
      </c>
      <c r="P72" s="13">
        <f t="shared" si="6"/>
        <v>73317.100000000006</v>
      </c>
      <c r="Q72" s="14">
        <f t="shared" si="7"/>
        <v>-16.27975</v>
      </c>
    </row>
    <row r="73" spans="1:17" x14ac:dyDescent="0.25">
      <c r="A73" s="9" t="s">
        <v>83</v>
      </c>
      <c r="B73" s="10">
        <v>20</v>
      </c>
      <c r="C73" s="10">
        <v>26</v>
      </c>
      <c r="D73" s="11">
        <v>11.89</v>
      </c>
      <c r="E73" s="12">
        <v>-20</v>
      </c>
      <c r="F73" s="12">
        <v>-12</v>
      </c>
      <c r="G73" s="12">
        <v>-2.2999999999999998</v>
      </c>
      <c r="H73" s="13">
        <f t="shared" si="4"/>
        <v>73571.89</v>
      </c>
      <c r="I73" s="14">
        <f t="shared" si="5"/>
        <v>-20.200638888888889</v>
      </c>
      <c r="J73" s="10">
        <v>20</v>
      </c>
      <c r="K73" s="10">
        <v>25</v>
      </c>
      <c r="L73" s="10">
        <v>47.13</v>
      </c>
      <c r="M73" s="12">
        <v>-16</v>
      </c>
      <c r="N73" s="12">
        <v>-10</v>
      </c>
      <c r="O73" s="12">
        <v>-26.9</v>
      </c>
      <c r="P73" s="13">
        <f t="shared" si="6"/>
        <v>73547.13</v>
      </c>
      <c r="Q73" s="14">
        <f t="shared" si="7"/>
        <v>-16.174138888888891</v>
      </c>
    </row>
    <row r="74" spans="1:17" x14ac:dyDescent="0.25">
      <c r="A74" s="9" t="s">
        <v>84</v>
      </c>
      <c r="B74" s="10">
        <v>20</v>
      </c>
      <c r="C74" s="10">
        <v>29</v>
      </c>
      <c r="D74" s="11">
        <v>18.440000000000001</v>
      </c>
      <c r="E74" s="12">
        <v>-20</v>
      </c>
      <c r="F74" s="12">
        <v>-2</v>
      </c>
      <c r="G74" s="12">
        <v>-1.1000000000000001</v>
      </c>
      <c r="H74" s="13">
        <f t="shared" si="4"/>
        <v>73758.44</v>
      </c>
      <c r="I74" s="14">
        <f t="shared" si="5"/>
        <v>-20.033638888888888</v>
      </c>
      <c r="J74" s="10">
        <v>20</v>
      </c>
      <c r="K74" s="10">
        <v>29</v>
      </c>
      <c r="L74" s="10">
        <v>39.03</v>
      </c>
      <c r="M74" s="12">
        <v>-16</v>
      </c>
      <c r="N74" s="12">
        <v>-3</v>
      </c>
      <c r="O74" s="12">
        <v>-39.200000000000003</v>
      </c>
      <c r="P74" s="13">
        <f t="shared" si="6"/>
        <v>73779.03</v>
      </c>
      <c r="Q74" s="14">
        <f t="shared" si="7"/>
        <v>-16.06088888888889</v>
      </c>
    </row>
    <row r="75" spans="1:17" x14ac:dyDescent="0.25">
      <c r="A75" s="9" t="s">
        <v>85</v>
      </c>
      <c r="B75" s="10">
        <v>20</v>
      </c>
      <c r="C75" s="10">
        <v>32</v>
      </c>
      <c r="D75" s="11">
        <v>24.68</v>
      </c>
      <c r="E75" s="12">
        <v>-19</v>
      </c>
      <c r="F75" s="12">
        <v>-51</v>
      </c>
      <c r="G75" s="12">
        <v>-47.9</v>
      </c>
      <c r="H75" s="13">
        <f t="shared" si="4"/>
        <v>73944.679999999993</v>
      </c>
      <c r="I75" s="14">
        <f t="shared" si="5"/>
        <v>-19.863305555555556</v>
      </c>
      <c r="J75" s="10">
        <v>20</v>
      </c>
      <c r="K75" s="10">
        <v>33</v>
      </c>
      <c r="L75" s="10">
        <v>32.700000000000003</v>
      </c>
      <c r="M75" s="12">
        <v>-15</v>
      </c>
      <c r="N75" s="12">
        <v>-56</v>
      </c>
      <c r="O75" s="12">
        <v>-23.7</v>
      </c>
      <c r="P75" s="13">
        <f t="shared" si="6"/>
        <v>74012.7</v>
      </c>
      <c r="Q75" s="14">
        <f t="shared" si="7"/>
        <v>-15.939916666666667</v>
      </c>
    </row>
    <row r="76" spans="1:17" x14ac:dyDescent="0.25">
      <c r="A76" s="9" t="s">
        <v>86</v>
      </c>
      <c r="B76" s="10">
        <v>20</v>
      </c>
      <c r="C76" s="10">
        <v>35</v>
      </c>
      <c r="D76" s="11">
        <v>30.62</v>
      </c>
      <c r="E76" s="12">
        <v>-19</v>
      </c>
      <c r="F76" s="12">
        <v>-41</v>
      </c>
      <c r="G76" s="12">
        <v>-23</v>
      </c>
      <c r="H76" s="13">
        <f t="shared" si="4"/>
        <v>74130.62</v>
      </c>
      <c r="I76" s="14">
        <f t="shared" si="5"/>
        <v>-19.689722222222223</v>
      </c>
      <c r="J76" s="10">
        <v>20</v>
      </c>
      <c r="K76" s="10">
        <v>37</v>
      </c>
      <c r="L76" s="10">
        <v>28.05</v>
      </c>
      <c r="M76" s="12">
        <v>-15</v>
      </c>
      <c r="N76" s="12">
        <v>-48</v>
      </c>
      <c r="O76" s="12">
        <v>-40.5</v>
      </c>
      <c r="P76" s="13">
        <f t="shared" si="6"/>
        <v>74248.05</v>
      </c>
      <c r="Q76" s="14">
        <f t="shared" si="7"/>
        <v>-15.811250000000001</v>
      </c>
    </row>
    <row r="77" spans="1:17" x14ac:dyDescent="0.25">
      <c r="A77" s="9" t="s">
        <v>87</v>
      </c>
      <c r="B77" s="10">
        <v>20</v>
      </c>
      <c r="C77" s="10">
        <v>38</v>
      </c>
      <c r="D77" s="11">
        <v>36.24</v>
      </c>
      <c r="E77" s="12">
        <v>-19</v>
      </c>
      <c r="F77" s="12">
        <v>-30</v>
      </c>
      <c r="G77" s="12">
        <v>-46.3</v>
      </c>
      <c r="H77" s="13">
        <f t="shared" si="4"/>
        <v>74316.240000000005</v>
      </c>
      <c r="I77" s="14">
        <f t="shared" si="5"/>
        <v>-19.512861111111111</v>
      </c>
      <c r="J77" s="10">
        <v>20</v>
      </c>
      <c r="K77" s="10">
        <v>41</v>
      </c>
      <c r="L77" s="10">
        <v>24.97</v>
      </c>
      <c r="M77" s="12">
        <v>-15</v>
      </c>
      <c r="N77" s="12">
        <v>-40</v>
      </c>
      <c r="O77" s="12">
        <v>-29.2</v>
      </c>
      <c r="P77" s="13">
        <f t="shared" si="6"/>
        <v>74484.97</v>
      </c>
      <c r="Q77" s="14">
        <f t="shared" si="7"/>
        <v>-15.674777777777777</v>
      </c>
    </row>
    <row r="78" spans="1:17" x14ac:dyDescent="0.25">
      <c r="A78" s="9" t="s">
        <v>88</v>
      </c>
      <c r="B78" s="10">
        <v>20</v>
      </c>
      <c r="C78" s="10">
        <v>41</v>
      </c>
      <c r="D78" s="11">
        <v>41.56</v>
      </c>
      <c r="E78" s="12">
        <v>-19</v>
      </c>
      <c r="F78" s="12">
        <v>-19</v>
      </c>
      <c r="G78" s="12">
        <v>-58</v>
      </c>
      <c r="H78" s="13">
        <f t="shared" si="4"/>
        <v>74501.56</v>
      </c>
      <c r="I78" s="14">
        <f t="shared" si="5"/>
        <v>-19.332777777777778</v>
      </c>
      <c r="J78" s="10">
        <v>20</v>
      </c>
      <c r="K78" s="10">
        <v>45</v>
      </c>
      <c r="L78" s="10">
        <v>23.37</v>
      </c>
      <c r="M78" s="12">
        <v>-15</v>
      </c>
      <c r="N78" s="12">
        <v>-31</v>
      </c>
      <c r="O78" s="12">
        <v>-49.9</v>
      </c>
      <c r="P78" s="13">
        <f t="shared" si="6"/>
        <v>74723.37</v>
      </c>
      <c r="Q78" s="14">
        <f t="shared" si="7"/>
        <v>-15.530527777777779</v>
      </c>
    </row>
    <row r="79" spans="1:17" x14ac:dyDescent="0.25">
      <c r="A79" s="9" t="s">
        <v>89</v>
      </c>
      <c r="B79" s="10">
        <v>20</v>
      </c>
      <c r="C79" s="10">
        <v>44</v>
      </c>
      <c r="D79" s="11">
        <v>46.55</v>
      </c>
      <c r="E79" s="12">
        <v>-19</v>
      </c>
      <c r="F79" s="12">
        <v>-8</v>
      </c>
      <c r="G79" s="12">
        <v>-58.2</v>
      </c>
      <c r="H79" s="13">
        <f t="shared" si="4"/>
        <v>74686.55</v>
      </c>
      <c r="I79" s="14">
        <f t="shared" si="5"/>
        <v>-19.1495</v>
      </c>
      <c r="J79" s="10">
        <v>20</v>
      </c>
      <c r="K79" s="10">
        <v>49</v>
      </c>
      <c r="L79" s="10">
        <v>23.17</v>
      </c>
      <c r="M79" s="12">
        <v>-15</v>
      </c>
      <c r="N79" s="12">
        <v>-22</v>
      </c>
      <c r="O79" s="12">
        <v>-42.5</v>
      </c>
      <c r="P79" s="13">
        <f t="shared" si="6"/>
        <v>74963.17</v>
      </c>
      <c r="Q79" s="14">
        <f t="shared" si="7"/>
        <v>-15.378472222222223</v>
      </c>
    </row>
    <row r="80" spans="1:17" x14ac:dyDescent="0.25">
      <c r="A80" s="9" t="s">
        <v>90</v>
      </c>
      <c r="B80" s="10">
        <v>20</v>
      </c>
      <c r="C80" s="10">
        <v>47</v>
      </c>
      <c r="D80" s="11">
        <v>51.23</v>
      </c>
      <c r="E80" s="12">
        <v>-18</v>
      </c>
      <c r="F80" s="12">
        <v>-57</v>
      </c>
      <c r="G80" s="12">
        <v>-47.1</v>
      </c>
      <c r="H80" s="13">
        <f t="shared" si="4"/>
        <v>74871.23</v>
      </c>
      <c r="I80" s="14">
        <f t="shared" si="5"/>
        <v>-18.963083333333334</v>
      </c>
      <c r="J80" s="10">
        <v>20</v>
      </c>
      <c r="K80" s="10">
        <v>53</v>
      </c>
      <c r="L80" s="10">
        <v>24.28</v>
      </c>
      <c r="M80" s="12">
        <v>-15</v>
      </c>
      <c r="N80" s="12">
        <v>-13</v>
      </c>
      <c r="O80" s="12">
        <v>-7</v>
      </c>
      <c r="P80" s="13">
        <f t="shared" si="6"/>
        <v>75204.28</v>
      </c>
      <c r="Q80" s="14">
        <f t="shared" si="7"/>
        <v>-15.218611111111111</v>
      </c>
    </row>
    <row r="81" spans="1:17" x14ac:dyDescent="0.25">
      <c r="A81" s="9" t="s">
        <v>91</v>
      </c>
      <c r="B81" s="10">
        <v>20</v>
      </c>
      <c r="C81" s="10">
        <v>50</v>
      </c>
      <c r="D81" s="11">
        <v>55.59</v>
      </c>
      <c r="E81" s="12">
        <v>-18</v>
      </c>
      <c r="F81" s="12">
        <v>-46</v>
      </c>
      <c r="G81" s="12">
        <v>-24.8</v>
      </c>
      <c r="H81" s="13">
        <f t="shared" si="4"/>
        <v>75055.59</v>
      </c>
      <c r="I81" s="14">
        <f t="shared" si="5"/>
        <v>-18.773555555555557</v>
      </c>
      <c r="J81" s="10">
        <v>20</v>
      </c>
      <c r="K81" s="10">
        <v>57</v>
      </c>
      <c r="L81" s="10">
        <v>26.62</v>
      </c>
      <c r="M81" s="12">
        <v>-15</v>
      </c>
      <c r="N81" s="12">
        <v>-3</v>
      </c>
      <c r="O81" s="12">
        <v>-3.4</v>
      </c>
      <c r="P81" s="13">
        <f t="shared" si="6"/>
        <v>75446.62</v>
      </c>
      <c r="Q81" s="14">
        <f t="shared" si="7"/>
        <v>-15.050944444444445</v>
      </c>
    </row>
    <row r="82" spans="1:17" x14ac:dyDescent="0.25">
      <c r="A82" s="9" t="s">
        <v>92</v>
      </c>
      <c r="B82" s="10">
        <v>20</v>
      </c>
      <c r="C82" s="10">
        <v>53</v>
      </c>
      <c r="D82" s="11">
        <v>59.62</v>
      </c>
      <c r="E82" s="12">
        <v>-18</v>
      </c>
      <c r="F82" s="12">
        <v>-34</v>
      </c>
      <c r="G82" s="12">
        <v>-51.4</v>
      </c>
      <c r="H82" s="13">
        <f t="shared" si="4"/>
        <v>75239.62</v>
      </c>
      <c r="I82" s="14">
        <f t="shared" si="5"/>
        <v>-18.580944444444444</v>
      </c>
      <c r="J82" s="10">
        <v>21</v>
      </c>
      <c r="K82" s="10">
        <v>1</v>
      </c>
      <c r="L82" s="10">
        <v>30.11</v>
      </c>
      <c r="M82" s="12">
        <v>-14</v>
      </c>
      <c r="N82" s="12">
        <v>-52</v>
      </c>
      <c r="O82" s="12">
        <v>-31.8</v>
      </c>
      <c r="P82" s="13">
        <f t="shared" si="6"/>
        <v>75690.11</v>
      </c>
      <c r="Q82" s="14">
        <f t="shared" si="7"/>
        <v>-14.875500000000001</v>
      </c>
    </row>
    <row r="83" spans="1:17" x14ac:dyDescent="0.25">
      <c r="A83" s="9" t="s">
        <v>93</v>
      </c>
      <c r="B83" s="10">
        <v>20</v>
      </c>
      <c r="C83" s="10">
        <v>57</v>
      </c>
      <c r="D83" s="11">
        <v>3.33</v>
      </c>
      <c r="E83" s="12">
        <v>-18</v>
      </c>
      <c r="F83" s="12">
        <v>-23</v>
      </c>
      <c r="G83" s="12">
        <v>-7.1</v>
      </c>
      <c r="H83" s="13">
        <f t="shared" si="4"/>
        <v>75423.33</v>
      </c>
      <c r="I83" s="14">
        <f t="shared" si="5"/>
        <v>-18.385305555555554</v>
      </c>
      <c r="J83" s="10">
        <v>21</v>
      </c>
      <c r="K83" s="10">
        <v>5</v>
      </c>
      <c r="L83" s="10">
        <v>34.68</v>
      </c>
      <c r="M83" s="12">
        <v>-14</v>
      </c>
      <c r="N83" s="12">
        <v>-41</v>
      </c>
      <c r="O83" s="12">
        <v>-32.1</v>
      </c>
      <c r="P83" s="13">
        <f t="shared" si="6"/>
        <v>75934.679999999993</v>
      </c>
      <c r="Q83" s="14">
        <f t="shared" si="7"/>
        <v>-14.69225</v>
      </c>
    </row>
    <row r="84" spans="1:17" x14ac:dyDescent="0.25">
      <c r="A84" s="9" t="s">
        <v>94</v>
      </c>
      <c r="B84" s="10">
        <v>21</v>
      </c>
      <c r="C84" s="10">
        <v>0</v>
      </c>
      <c r="D84" s="11">
        <v>6.71</v>
      </c>
      <c r="E84" s="12">
        <v>-18</v>
      </c>
      <c r="F84" s="12">
        <v>-11</v>
      </c>
      <c r="G84" s="12">
        <v>-12</v>
      </c>
      <c r="H84" s="13">
        <f t="shared" si="4"/>
        <v>75606.710000000006</v>
      </c>
      <c r="I84" s="14">
        <f t="shared" si="5"/>
        <v>-18.186666666666667</v>
      </c>
      <c r="J84" s="10">
        <v>21</v>
      </c>
      <c r="K84" s="10">
        <v>9</v>
      </c>
      <c r="L84" s="10">
        <v>40.24</v>
      </c>
      <c r="M84" s="12">
        <v>-14</v>
      </c>
      <c r="N84" s="12">
        <v>-30</v>
      </c>
      <c r="O84" s="12">
        <v>-4.5999999999999996</v>
      </c>
      <c r="P84" s="13">
        <f t="shared" si="6"/>
        <v>76180.240000000005</v>
      </c>
      <c r="Q84" s="14">
        <f t="shared" si="7"/>
        <v>-14.501277777777778</v>
      </c>
    </row>
    <row r="85" spans="1:17" x14ac:dyDescent="0.25">
      <c r="A85" s="9" t="s">
        <v>95</v>
      </c>
      <c r="B85" s="10">
        <v>21</v>
      </c>
      <c r="C85" s="10">
        <v>3</v>
      </c>
      <c r="D85" s="11">
        <v>9.76</v>
      </c>
      <c r="E85" s="12">
        <v>-17</v>
      </c>
      <c r="F85" s="12">
        <v>-59</v>
      </c>
      <c r="G85" s="12">
        <v>-6.2</v>
      </c>
      <c r="H85" s="13">
        <f t="shared" si="4"/>
        <v>75789.759999999995</v>
      </c>
      <c r="I85" s="14">
        <f t="shared" si="5"/>
        <v>-17.985055555555554</v>
      </c>
      <c r="J85" s="10">
        <v>21</v>
      </c>
      <c r="K85" s="10">
        <v>13</v>
      </c>
      <c r="L85" s="10">
        <v>46.71</v>
      </c>
      <c r="M85" s="12">
        <v>-14</v>
      </c>
      <c r="N85" s="12">
        <v>-18</v>
      </c>
      <c r="O85" s="12">
        <v>-9.4</v>
      </c>
      <c r="P85" s="13">
        <f t="shared" si="6"/>
        <v>76426.710000000006</v>
      </c>
      <c r="Q85" s="14">
        <f t="shared" si="7"/>
        <v>-14.302611111111112</v>
      </c>
    </row>
    <row r="86" spans="1:17" x14ac:dyDescent="0.25">
      <c r="A86" s="9" t="s">
        <v>96</v>
      </c>
      <c r="B86" s="10">
        <v>21</v>
      </c>
      <c r="C86" s="10">
        <v>6</v>
      </c>
      <c r="D86" s="11">
        <v>12.48</v>
      </c>
      <c r="E86" s="12">
        <v>-17</v>
      </c>
      <c r="F86" s="12">
        <v>-46</v>
      </c>
      <c r="G86" s="12">
        <v>-50</v>
      </c>
      <c r="H86" s="13">
        <f t="shared" si="4"/>
        <v>75972.479999999996</v>
      </c>
      <c r="I86" s="14">
        <f t="shared" si="5"/>
        <v>-17.780555555555555</v>
      </c>
      <c r="J86" s="10">
        <v>21</v>
      </c>
      <c r="K86" s="10">
        <v>17</v>
      </c>
      <c r="L86" s="10">
        <v>54.04</v>
      </c>
      <c r="M86" s="12">
        <v>-14</v>
      </c>
      <c r="N86" s="12">
        <v>-5</v>
      </c>
      <c r="O86" s="12">
        <v>-46.6</v>
      </c>
      <c r="P86" s="13">
        <f t="shared" si="6"/>
        <v>76674.039999999994</v>
      </c>
      <c r="Q86" s="14">
        <f t="shared" si="7"/>
        <v>-14.096277777777779</v>
      </c>
    </row>
    <row r="87" spans="1:17" x14ac:dyDescent="0.25">
      <c r="A87" s="9" t="s">
        <v>97</v>
      </c>
      <c r="B87" s="10">
        <v>21</v>
      </c>
      <c r="C87" s="10">
        <v>9</v>
      </c>
      <c r="D87" s="11">
        <v>14.86</v>
      </c>
      <c r="E87" s="12">
        <v>-17</v>
      </c>
      <c r="F87" s="12">
        <v>-34</v>
      </c>
      <c r="G87" s="12">
        <v>-23.4</v>
      </c>
      <c r="H87" s="13">
        <f t="shared" si="4"/>
        <v>76154.86</v>
      </c>
      <c r="I87" s="14">
        <f t="shared" si="5"/>
        <v>-17.573166666666665</v>
      </c>
      <c r="J87" s="10">
        <v>21</v>
      </c>
      <c r="K87" s="10">
        <v>22</v>
      </c>
      <c r="L87" s="10">
        <v>2.15</v>
      </c>
      <c r="M87" s="12">
        <v>-13</v>
      </c>
      <c r="N87" s="12">
        <v>-52</v>
      </c>
      <c r="O87" s="12">
        <v>-56.5</v>
      </c>
      <c r="P87" s="13">
        <f t="shared" si="6"/>
        <v>76922.149999999994</v>
      </c>
      <c r="Q87" s="14">
        <f t="shared" si="7"/>
        <v>-13.882361111111111</v>
      </c>
    </row>
    <row r="88" spans="1:17" x14ac:dyDescent="0.25">
      <c r="A88" s="9" t="s">
        <v>98</v>
      </c>
      <c r="B88" s="10">
        <v>21</v>
      </c>
      <c r="C88" s="10">
        <v>12</v>
      </c>
      <c r="D88" s="11">
        <v>16.89</v>
      </c>
      <c r="E88" s="12">
        <v>-17</v>
      </c>
      <c r="F88" s="12">
        <v>-21</v>
      </c>
      <c r="G88" s="12">
        <v>-46.6</v>
      </c>
      <c r="H88" s="13">
        <f t="shared" si="4"/>
        <v>76336.89</v>
      </c>
      <c r="I88" s="14">
        <f t="shared" si="5"/>
        <v>-17.362944444444445</v>
      </c>
      <c r="J88" s="10">
        <v>21</v>
      </c>
      <c r="K88" s="10">
        <v>26</v>
      </c>
      <c r="L88" s="10">
        <v>10.96</v>
      </c>
      <c r="M88" s="12">
        <v>-13</v>
      </c>
      <c r="N88" s="12">
        <v>-39</v>
      </c>
      <c r="O88" s="12">
        <v>-39.4</v>
      </c>
      <c r="P88" s="13">
        <f t="shared" si="6"/>
        <v>77170.960000000006</v>
      </c>
      <c r="Q88" s="14">
        <f t="shared" si="7"/>
        <v>-13.660944444444445</v>
      </c>
    </row>
    <row r="89" spans="1:17" x14ac:dyDescent="0.25">
      <c r="A89" s="9" t="s">
        <v>99</v>
      </c>
      <c r="B89" s="10">
        <v>21</v>
      </c>
      <c r="C89" s="10">
        <v>15</v>
      </c>
      <c r="D89" s="11">
        <v>18.579999999999998</v>
      </c>
      <c r="E89" s="12">
        <v>-17</v>
      </c>
      <c r="F89" s="12">
        <v>-8</v>
      </c>
      <c r="G89" s="12">
        <v>-59.8</v>
      </c>
      <c r="H89" s="13">
        <f t="shared" si="4"/>
        <v>76518.58</v>
      </c>
      <c r="I89" s="14">
        <f t="shared" si="5"/>
        <v>-17.149944444444444</v>
      </c>
      <c r="J89" s="10">
        <v>21</v>
      </c>
      <c r="K89" s="10">
        <v>30</v>
      </c>
      <c r="L89" s="10">
        <v>20.420000000000002</v>
      </c>
      <c r="M89" s="12">
        <v>-13</v>
      </c>
      <c r="N89" s="12">
        <v>-25</v>
      </c>
      <c r="O89" s="12">
        <v>-55.5</v>
      </c>
      <c r="P89" s="13">
        <f t="shared" si="6"/>
        <v>77420.42</v>
      </c>
      <c r="Q89" s="14">
        <f t="shared" si="7"/>
        <v>-13.432083333333333</v>
      </c>
    </row>
    <row r="90" spans="1:17" x14ac:dyDescent="0.25">
      <c r="A90" s="9" t="s">
        <v>100</v>
      </c>
      <c r="B90" s="10">
        <v>21</v>
      </c>
      <c r="C90" s="10">
        <v>18</v>
      </c>
      <c r="D90" s="11">
        <v>19.91</v>
      </c>
      <c r="E90" s="12">
        <v>-16</v>
      </c>
      <c r="F90" s="12">
        <v>-56</v>
      </c>
      <c r="G90" s="12">
        <v>-3.1</v>
      </c>
      <c r="H90" s="13">
        <f t="shared" si="4"/>
        <v>76699.91</v>
      </c>
      <c r="I90" s="14">
        <f t="shared" si="5"/>
        <v>-16.934194444444444</v>
      </c>
      <c r="J90" s="10">
        <v>21</v>
      </c>
      <c r="K90" s="10">
        <v>34</v>
      </c>
      <c r="L90" s="10">
        <v>30.46</v>
      </c>
      <c r="M90" s="12">
        <v>-13</v>
      </c>
      <c r="N90" s="12">
        <v>-11</v>
      </c>
      <c r="O90" s="12">
        <v>-45.2</v>
      </c>
      <c r="P90" s="13">
        <f t="shared" si="6"/>
        <v>77670.460000000006</v>
      </c>
      <c r="Q90" s="14">
        <f t="shared" si="7"/>
        <v>-13.19588888888889</v>
      </c>
    </row>
    <row r="91" spans="1:17" x14ac:dyDescent="0.25">
      <c r="A91" s="9" t="s">
        <v>101</v>
      </c>
      <c r="B91" s="10">
        <v>21</v>
      </c>
      <c r="C91" s="10">
        <v>21</v>
      </c>
      <c r="D91" s="11">
        <v>20.89</v>
      </c>
      <c r="E91" s="12">
        <v>-16</v>
      </c>
      <c r="F91" s="12">
        <v>-42</v>
      </c>
      <c r="G91" s="12">
        <v>-56.8</v>
      </c>
      <c r="H91" s="13">
        <f t="shared" si="4"/>
        <v>76880.89</v>
      </c>
      <c r="I91" s="14">
        <f t="shared" si="5"/>
        <v>-16.715777777777777</v>
      </c>
      <c r="J91" s="10">
        <v>21</v>
      </c>
      <c r="K91" s="10">
        <v>38</v>
      </c>
      <c r="L91" s="10">
        <v>41.03</v>
      </c>
      <c r="M91" s="12">
        <v>-12</v>
      </c>
      <c r="N91" s="12">
        <v>-57</v>
      </c>
      <c r="O91" s="12">
        <v>-8.6999999999999993</v>
      </c>
      <c r="P91" s="13">
        <f t="shared" si="6"/>
        <v>77921.03</v>
      </c>
      <c r="Q91" s="14">
        <f t="shared" si="7"/>
        <v>-12.952416666666666</v>
      </c>
    </row>
    <row r="92" spans="1:17" x14ac:dyDescent="0.25">
      <c r="A92" s="9" t="s">
        <v>102</v>
      </c>
      <c r="B92" s="10">
        <v>21</v>
      </c>
      <c r="C92" s="10">
        <v>24</v>
      </c>
      <c r="D92" s="11">
        <v>21.51</v>
      </c>
      <c r="E92" s="12">
        <v>-16</v>
      </c>
      <c r="F92" s="12">
        <v>-29</v>
      </c>
      <c r="G92" s="12">
        <v>-40.9</v>
      </c>
      <c r="H92" s="13">
        <f t="shared" si="4"/>
        <v>77061.509999999995</v>
      </c>
      <c r="I92" s="14">
        <f t="shared" si="5"/>
        <v>-16.494694444444445</v>
      </c>
      <c r="J92" s="10">
        <v>21</v>
      </c>
      <c r="K92" s="10">
        <v>42</v>
      </c>
      <c r="L92" s="10">
        <v>52.06</v>
      </c>
      <c r="M92" s="12">
        <v>-12</v>
      </c>
      <c r="N92" s="12">
        <v>-42</v>
      </c>
      <c r="O92" s="12">
        <v>-6.5</v>
      </c>
      <c r="P92" s="13">
        <f t="shared" si="6"/>
        <v>78172.06</v>
      </c>
      <c r="Q92" s="14">
        <f t="shared" si="7"/>
        <v>-12.701805555555556</v>
      </c>
    </row>
    <row r="93" spans="1:17" x14ac:dyDescent="0.25">
      <c r="A93" s="9" t="s">
        <v>103</v>
      </c>
      <c r="B93" s="10">
        <v>21</v>
      </c>
      <c r="C93" s="10">
        <v>27</v>
      </c>
      <c r="D93" s="11">
        <v>21.77</v>
      </c>
      <c r="E93" s="12">
        <v>-16</v>
      </c>
      <c r="F93" s="12">
        <v>-16</v>
      </c>
      <c r="G93" s="12">
        <v>-15.8</v>
      </c>
      <c r="H93" s="13">
        <f t="shared" si="4"/>
        <v>77241.77</v>
      </c>
      <c r="I93" s="14">
        <f t="shared" si="5"/>
        <v>-16.271055555555556</v>
      </c>
      <c r="J93" s="10">
        <v>21</v>
      </c>
      <c r="K93" s="10">
        <v>47</v>
      </c>
      <c r="L93" s="10">
        <v>3.51</v>
      </c>
      <c r="M93" s="12">
        <v>-12</v>
      </c>
      <c r="N93" s="12">
        <v>-26</v>
      </c>
      <c r="O93" s="12">
        <v>-38.9</v>
      </c>
      <c r="P93" s="13">
        <f t="shared" si="6"/>
        <v>78423.509999999995</v>
      </c>
      <c r="Q93" s="14">
        <f t="shared" si="7"/>
        <v>-12.444138888888888</v>
      </c>
    </row>
    <row r="94" spans="1:17" x14ac:dyDescent="0.25">
      <c r="A94" s="9" t="s">
        <v>104</v>
      </c>
      <c r="B94" s="10">
        <v>21</v>
      </c>
      <c r="C94" s="10">
        <v>30</v>
      </c>
      <c r="D94" s="11">
        <v>21.66</v>
      </c>
      <c r="E94" s="12">
        <v>-16</v>
      </c>
      <c r="F94" s="12">
        <v>-2</v>
      </c>
      <c r="G94" s="12">
        <v>-41.5</v>
      </c>
      <c r="H94" s="13">
        <f t="shared" si="4"/>
        <v>77421.66</v>
      </c>
      <c r="I94" s="14">
        <f t="shared" si="5"/>
        <v>-16.044861111111111</v>
      </c>
      <c r="J94" s="10">
        <v>21</v>
      </c>
      <c r="K94" s="10">
        <v>51</v>
      </c>
      <c r="L94" s="10">
        <v>15.33</v>
      </c>
      <c r="M94" s="12">
        <v>-12</v>
      </c>
      <c r="N94" s="12">
        <v>-10</v>
      </c>
      <c r="O94" s="12">
        <v>-46.4</v>
      </c>
      <c r="P94" s="13">
        <f t="shared" si="6"/>
        <v>78675.33</v>
      </c>
      <c r="Q94" s="14">
        <f t="shared" si="7"/>
        <v>-12.179555555555554</v>
      </c>
    </row>
    <row r="95" spans="1:17" x14ac:dyDescent="0.25">
      <c r="A95" s="9" t="s">
        <v>105</v>
      </c>
      <c r="B95" s="10">
        <v>21</v>
      </c>
      <c r="C95" s="10">
        <v>33</v>
      </c>
      <c r="D95" s="11">
        <v>21.19</v>
      </c>
      <c r="E95" s="12">
        <v>-15</v>
      </c>
      <c r="F95" s="12">
        <v>-48</v>
      </c>
      <c r="G95" s="12">
        <v>-58.2</v>
      </c>
      <c r="H95" s="13">
        <f t="shared" si="4"/>
        <v>77601.19</v>
      </c>
      <c r="I95" s="14">
        <f t="shared" si="5"/>
        <v>-15.816166666666668</v>
      </c>
      <c r="J95" s="10">
        <v>21</v>
      </c>
      <c r="K95" s="10">
        <v>55</v>
      </c>
      <c r="L95" s="10">
        <v>27.48</v>
      </c>
      <c r="M95" s="12">
        <v>-11</v>
      </c>
      <c r="N95" s="12">
        <v>-54</v>
      </c>
      <c r="O95" s="12">
        <v>-29.2</v>
      </c>
      <c r="P95" s="13">
        <f t="shared" si="6"/>
        <v>78927.48</v>
      </c>
      <c r="Q95" s="14">
        <f t="shared" si="7"/>
        <v>-11.908111111111111</v>
      </c>
    </row>
    <row r="96" spans="1:17" x14ac:dyDescent="0.25">
      <c r="A96" s="9" t="s">
        <v>106</v>
      </c>
      <c r="B96" s="10">
        <v>21</v>
      </c>
      <c r="C96" s="10">
        <v>36</v>
      </c>
      <c r="D96" s="11">
        <v>20.36</v>
      </c>
      <c r="E96" s="12">
        <v>-15</v>
      </c>
      <c r="F96" s="12">
        <v>-35</v>
      </c>
      <c r="G96" s="12">
        <v>-6</v>
      </c>
      <c r="H96" s="13">
        <f t="shared" si="4"/>
        <v>77780.36</v>
      </c>
      <c r="I96" s="14">
        <f t="shared" si="5"/>
        <v>-15.585000000000001</v>
      </c>
      <c r="J96" s="10">
        <v>21</v>
      </c>
      <c r="K96" s="10">
        <v>59</v>
      </c>
      <c r="L96" s="10">
        <v>39.909999999999997</v>
      </c>
      <c r="M96" s="12">
        <v>-11</v>
      </c>
      <c r="N96" s="12">
        <v>-37</v>
      </c>
      <c r="O96" s="12">
        <v>-47.9</v>
      </c>
      <c r="P96" s="13">
        <f t="shared" si="6"/>
        <v>79179.91</v>
      </c>
      <c r="Q96" s="14">
        <f t="shared" si="7"/>
        <v>-11.629972222222223</v>
      </c>
    </row>
    <row r="97" spans="1:17" x14ac:dyDescent="0.25">
      <c r="A97" s="9" t="s">
        <v>107</v>
      </c>
      <c r="B97" s="10">
        <v>21</v>
      </c>
      <c r="C97" s="10">
        <v>39</v>
      </c>
      <c r="D97" s="11">
        <v>19.149999999999999</v>
      </c>
      <c r="E97" s="12">
        <v>-15</v>
      </c>
      <c r="F97" s="12">
        <v>-21</v>
      </c>
      <c r="G97" s="12">
        <v>-5.3</v>
      </c>
      <c r="H97" s="13">
        <f t="shared" si="4"/>
        <v>77959.149999999994</v>
      </c>
      <c r="I97" s="14">
        <f t="shared" si="5"/>
        <v>-15.351472222222222</v>
      </c>
      <c r="J97" s="10">
        <v>22</v>
      </c>
      <c r="K97" s="10">
        <v>3</v>
      </c>
      <c r="L97" s="10">
        <v>52.6</v>
      </c>
      <c r="M97" s="12">
        <v>-11</v>
      </c>
      <c r="N97" s="12">
        <v>-20</v>
      </c>
      <c r="O97" s="12">
        <v>-42.9</v>
      </c>
      <c r="P97" s="13">
        <f t="shared" si="6"/>
        <v>79432.600000000006</v>
      </c>
      <c r="Q97" s="14">
        <f t="shared" si="7"/>
        <v>-11.34525</v>
      </c>
    </row>
    <row r="98" spans="1:17" x14ac:dyDescent="0.25">
      <c r="A98" s="9" t="s">
        <v>108</v>
      </c>
      <c r="B98" s="10">
        <v>21</v>
      </c>
      <c r="C98" s="10">
        <v>42</v>
      </c>
      <c r="D98" s="11">
        <v>17.59</v>
      </c>
      <c r="E98" s="12">
        <v>-15</v>
      </c>
      <c r="F98" s="12">
        <v>-6</v>
      </c>
      <c r="G98" s="12">
        <v>-56.1</v>
      </c>
      <c r="H98" s="13">
        <f t="shared" si="4"/>
        <v>78137.59</v>
      </c>
      <c r="I98" s="14">
        <f t="shared" si="5"/>
        <v>-15.115583333333333</v>
      </c>
      <c r="J98" s="10">
        <v>22</v>
      </c>
      <c r="K98" s="10">
        <v>8</v>
      </c>
      <c r="L98" s="10">
        <v>5.51</v>
      </c>
      <c r="M98" s="12">
        <v>-11</v>
      </c>
      <c r="N98" s="12">
        <v>-3</v>
      </c>
      <c r="O98" s="12">
        <v>-14.6</v>
      </c>
      <c r="P98" s="13">
        <f t="shared" si="6"/>
        <v>79685.509999999995</v>
      </c>
      <c r="Q98" s="14">
        <f t="shared" si="7"/>
        <v>-11.054055555555557</v>
      </c>
    </row>
    <row r="99" spans="1:17" x14ac:dyDescent="0.25">
      <c r="A99" s="9" t="s">
        <v>109</v>
      </c>
      <c r="B99" s="10">
        <v>21</v>
      </c>
      <c r="C99" s="10">
        <v>45</v>
      </c>
      <c r="D99" s="11">
        <v>15.66</v>
      </c>
      <c r="E99" s="12">
        <v>-14</v>
      </c>
      <c r="F99" s="12">
        <v>-52</v>
      </c>
      <c r="G99" s="12">
        <v>-38.6</v>
      </c>
      <c r="H99" s="13">
        <f t="shared" si="4"/>
        <v>78315.66</v>
      </c>
      <c r="I99" s="14">
        <f t="shared" si="5"/>
        <v>-14.877388888888889</v>
      </c>
      <c r="J99" s="10">
        <v>22</v>
      </c>
      <c r="K99" s="10">
        <v>12</v>
      </c>
      <c r="L99" s="10">
        <v>18.61</v>
      </c>
      <c r="M99" s="12">
        <v>-10</v>
      </c>
      <c r="N99" s="12">
        <v>-45</v>
      </c>
      <c r="O99" s="12">
        <v>-23.4</v>
      </c>
      <c r="P99" s="13">
        <f t="shared" si="6"/>
        <v>79938.61</v>
      </c>
      <c r="Q99" s="14">
        <f t="shared" si="7"/>
        <v>-10.756500000000001</v>
      </c>
    </row>
    <row r="100" spans="1:17" x14ac:dyDescent="0.25">
      <c r="A100" s="9" t="s">
        <v>110</v>
      </c>
      <c r="B100" s="10">
        <v>21</v>
      </c>
      <c r="C100" s="10">
        <v>48</v>
      </c>
      <c r="D100" s="11">
        <v>13.36</v>
      </c>
      <c r="E100" s="12">
        <v>-14</v>
      </c>
      <c r="F100" s="12">
        <v>-38</v>
      </c>
      <c r="G100" s="12">
        <v>-13</v>
      </c>
      <c r="H100" s="13">
        <f t="shared" si="4"/>
        <v>78493.36</v>
      </c>
      <c r="I100" s="14">
        <f t="shared" si="5"/>
        <v>-14.636944444444444</v>
      </c>
      <c r="J100" s="10">
        <v>22</v>
      </c>
      <c r="K100" s="10">
        <v>16</v>
      </c>
      <c r="L100" s="10">
        <v>31.88</v>
      </c>
      <c r="M100" s="12">
        <v>-10</v>
      </c>
      <c r="N100" s="12">
        <v>-27</v>
      </c>
      <c r="O100" s="12">
        <v>-9.9</v>
      </c>
      <c r="P100" s="13">
        <f t="shared" si="6"/>
        <v>80191.88</v>
      </c>
      <c r="Q100" s="14">
        <f t="shared" si="7"/>
        <v>-10.45275</v>
      </c>
    </row>
    <row r="101" spans="1:17" x14ac:dyDescent="0.25">
      <c r="A101" s="9" t="s">
        <v>111</v>
      </c>
      <c r="B101" s="10">
        <v>21</v>
      </c>
      <c r="C101" s="10">
        <v>51</v>
      </c>
      <c r="D101" s="11">
        <v>10.71</v>
      </c>
      <c r="E101" s="12">
        <v>-14</v>
      </c>
      <c r="F101" s="12">
        <v>-23</v>
      </c>
      <c r="G101" s="12">
        <v>-39.5</v>
      </c>
      <c r="H101" s="13">
        <f t="shared" si="4"/>
        <v>78670.710000000006</v>
      </c>
      <c r="I101" s="14">
        <f t="shared" si="5"/>
        <v>-14.394305555555556</v>
      </c>
      <c r="J101" s="10">
        <v>22</v>
      </c>
      <c r="K101" s="10">
        <v>20</v>
      </c>
      <c r="L101" s="10">
        <v>45.29</v>
      </c>
      <c r="M101" s="12">
        <v>-10</v>
      </c>
      <c r="N101" s="12">
        <v>-8</v>
      </c>
      <c r="O101" s="12">
        <v>-34.5</v>
      </c>
      <c r="P101" s="13">
        <f t="shared" si="6"/>
        <v>80445.289999999994</v>
      </c>
      <c r="Q101" s="14">
        <f t="shared" si="7"/>
        <v>-10.142916666666666</v>
      </c>
    </row>
    <row r="102" spans="1:17" x14ac:dyDescent="0.25">
      <c r="A102" s="9" t="s">
        <v>112</v>
      </c>
      <c r="B102" s="10">
        <v>21</v>
      </c>
      <c r="C102" s="10">
        <v>54</v>
      </c>
      <c r="D102" s="11">
        <v>7.7</v>
      </c>
      <c r="E102" s="12">
        <v>-14</v>
      </c>
      <c r="F102" s="12">
        <v>-8</v>
      </c>
      <c r="G102" s="12">
        <v>-58.1</v>
      </c>
      <c r="H102" s="13">
        <f t="shared" si="4"/>
        <v>78847.7</v>
      </c>
      <c r="I102" s="14">
        <f t="shared" si="5"/>
        <v>-14.149472222222222</v>
      </c>
      <c r="J102" s="10">
        <v>22</v>
      </c>
      <c r="K102" s="10">
        <v>24</v>
      </c>
      <c r="L102" s="10">
        <v>58.82</v>
      </c>
      <c r="M102" s="12">
        <v>-9</v>
      </c>
      <c r="N102" s="12">
        <v>-49</v>
      </c>
      <c r="O102" s="12">
        <v>-37.6</v>
      </c>
      <c r="P102" s="13">
        <f t="shared" si="6"/>
        <v>80698.820000000007</v>
      </c>
      <c r="Q102" s="14">
        <f t="shared" si="7"/>
        <v>-9.82711111111111</v>
      </c>
    </row>
    <row r="103" spans="1:17" x14ac:dyDescent="0.25">
      <c r="A103" s="9" t="s">
        <v>113</v>
      </c>
      <c r="B103" s="10">
        <v>21</v>
      </c>
      <c r="C103" s="10">
        <v>57</v>
      </c>
      <c r="D103" s="11">
        <v>4.34</v>
      </c>
      <c r="E103" s="12">
        <v>-13</v>
      </c>
      <c r="F103" s="12">
        <v>-54</v>
      </c>
      <c r="G103" s="12">
        <v>-9.1999999999999993</v>
      </c>
      <c r="H103" s="13">
        <f t="shared" si="4"/>
        <v>79024.34</v>
      </c>
      <c r="I103" s="14">
        <f t="shared" si="5"/>
        <v>-13.902555555555555</v>
      </c>
      <c r="J103" s="10">
        <v>22</v>
      </c>
      <c r="K103" s="10">
        <v>29</v>
      </c>
      <c r="L103" s="10">
        <v>12.46</v>
      </c>
      <c r="M103" s="12">
        <v>-9</v>
      </c>
      <c r="N103" s="12">
        <v>-30</v>
      </c>
      <c r="O103" s="12">
        <v>-19.8</v>
      </c>
      <c r="P103" s="13">
        <f t="shared" si="6"/>
        <v>80952.460000000006</v>
      </c>
      <c r="Q103" s="14">
        <f t="shared" si="7"/>
        <v>-9.5054999999999996</v>
      </c>
    </row>
    <row r="104" spans="1:17" x14ac:dyDescent="0.25">
      <c r="A104" s="9" t="s">
        <v>114</v>
      </c>
      <c r="B104" s="10">
        <v>22</v>
      </c>
      <c r="C104" s="10">
        <v>0</v>
      </c>
      <c r="D104" s="11">
        <v>0.62</v>
      </c>
      <c r="E104" s="12">
        <v>-13</v>
      </c>
      <c r="F104" s="12">
        <v>-39</v>
      </c>
      <c r="G104" s="12">
        <v>-12.8</v>
      </c>
      <c r="H104" s="13">
        <f t="shared" si="4"/>
        <v>79200.62</v>
      </c>
      <c r="I104" s="14">
        <f t="shared" si="5"/>
        <v>-13.653555555555556</v>
      </c>
      <c r="J104" s="10">
        <v>22</v>
      </c>
      <c r="K104" s="10">
        <v>33</v>
      </c>
      <c r="L104" s="10">
        <v>26.2</v>
      </c>
      <c r="M104" s="12">
        <v>-9</v>
      </c>
      <c r="N104" s="12">
        <v>-10</v>
      </c>
      <c r="O104" s="12">
        <v>-41.5</v>
      </c>
      <c r="P104" s="13">
        <f t="shared" si="6"/>
        <v>81206.2</v>
      </c>
      <c r="Q104" s="14">
        <f t="shared" si="7"/>
        <v>-9.1781944444444434</v>
      </c>
    </row>
    <row r="105" spans="1:17" x14ac:dyDescent="0.25">
      <c r="A105" s="9" t="s">
        <v>115</v>
      </c>
      <c r="B105" s="10">
        <v>22</v>
      </c>
      <c r="C105" s="10">
        <v>2</v>
      </c>
      <c r="D105" s="11">
        <v>56.57</v>
      </c>
      <c r="E105" s="12">
        <v>-13</v>
      </c>
      <c r="F105" s="12">
        <v>-24</v>
      </c>
      <c r="G105" s="12">
        <v>-9.1999999999999993</v>
      </c>
      <c r="H105" s="13">
        <f t="shared" si="4"/>
        <v>79376.570000000007</v>
      </c>
      <c r="I105" s="14">
        <f t="shared" si="5"/>
        <v>-13.402555555555555</v>
      </c>
      <c r="J105" s="10">
        <v>22</v>
      </c>
      <c r="K105" s="10">
        <v>37</v>
      </c>
      <c r="L105" s="10">
        <v>40.01</v>
      </c>
      <c r="M105" s="12">
        <v>-8</v>
      </c>
      <c r="N105" s="12">
        <v>-50</v>
      </c>
      <c r="O105" s="12">
        <v>-43.2</v>
      </c>
      <c r="P105" s="13">
        <f t="shared" si="6"/>
        <v>81460.009999999995</v>
      </c>
      <c r="Q105" s="14">
        <f t="shared" si="7"/>
        <v>-8.8453333333333344</v>
      </c>
    </row>
    <row r="106" spans="1:17" x14ac:dyDescent="0.25">
      <c r="A106" s="9" t="s">
        <v>116</v>
      </c>
      <c r="B106" s="10">
        <v>22</v>
      </c>
      <c r="C106" s="10">
        <v>5</v>
      </c>
      <c r="D106" s="11">
        <v>52.16</v>
      </c>
      <c r="E106" s="12">
        <v>-13</v>
      </c>
      <c r="F106" s="12">
        <v>-8</v>
      </c>
      <c r="G106" s="12">
        <v>-58.4</v>
      </c>
      <c r="H106" s="13">
        <f t="shared" si="4"/>
        <v>79552.160000000003</v>
      </c>
      <c r="I106" s="14">
        <f t="shared" si="5"/>
        <v>-13.149555555555555</v>
      </c>
      <c r="J106" s="10">
        <v>22</v>
      </c>
      <c r="K106" s="10">
        <v>41</v>
      </c>
      <c r="L106" s="10">
        <v>53.89</v>
      </c>
      <c r="M106" s="12">
        <v>-8</v>
      </c>
      <c r="N106" s="12">
        <v>-30</v>
      </c>
      <c r="O106" s="12">
        <v>-25.5</v>
      </c>
      <c r="P106" s="13">
        <f t="shared" si="6"/>
        <v>81713.89</v>
      </c>
      <c r="Q106" s="14">
        <f t="shared" si="7"/>
        <v>-8.507083333333334</v>
      </c>
    </row>
    <row r="107" spans="1:17" x14ac:dyDescent="0.25">
      <c r="A107" s="9" t="s">
        <v>117</v>
      </c>
      <c r="B107" s="10">
        <v>22</v>
      </c>
      <c r="C107" s="10">
        <v>8</v>
      </c>
      <c r="D107" s="11">
        <v>47.42</v>
      </c>
      <c r="E107" s="12">
        <v>-12</v>
      </c>
      <c r="F107" s="12">
        <v>-53</v>
      </c>
      <c r="G107" s="12">
        <v>-40.6</v>
      </c>
      <c r="H107" s="13">
        <f t="shared" si="4"/>
        <v>79727.42</v>
      </c>
      <c r="I107" s="14">
        <f t="shared" si="5"/>
        <v>-12.894611111111111</v>
      </c>
      <c r="J107" s="10">
        <v>22</v>
      </c>
      <c r="K107" s="10">
        <v>46</v>
      </c>
      <c r="L107" s="10">
        <v>7.83</v>
      </c>
      <c r="M107" s="12">
        <v>-8</v>
      </c>
      <c r="N107" s="12">
        <v>-9</v>
      </c>
      <c r="O107" s="12">
        <v>-48.8</v>
      </c>
      <c r="P107" s="13">
        <f t="shared" si="6"/>
        <v>81967.83</v>
      </c>
      <c r="Q107" s="14">
        <f t="shared" si="7"/>
        <v>-8.1635555555555559</v>
      </c>
    </row>
    <row r="108" spans="1:17" x14ac:dyDescent="0.25">
      <c r="A108" s="9" t="s">
        <v>118</v>
      </c>
      <c r="B108" s="10">
        <v>22</v>
      </c>
      <c r="C108" s="10">
        <v>11</v>
      </c>
      <c r="D108" s="11">
        <v>42.35</v>
      </c>
      <c r="E108" s="12">
        <v>-12</v>
      </c>
      <c r="F108" s="12">
        <v>-38</v>
      </c>
      <c r="G108" s="12">
        <v>-16.100000000000001</v>
      </c>
      <c r="H108" s="13">
        <f t="shared" si="4"/>
        <v>79902.350000000006</v>
      </c>
      <c r="I108" s="14">
        <f t="shared" si="5"/>
        <v>-12.637805555555556</v>
      </c>
      <c r="J108" s="10">
        <v>22</v>
      </c>
      <c r="K108" s="10">
        <v>50</v>
      </c>
      <c r="L108" s="10">
        <v>21.83</v>
      </c>
      <c r="M108" s="12">
        <v>-7</v>
      </c>
      <c r="N108" s="12">
        <v>-48</v>
      </c>
      <c r="O108" s="12">
        <v>-53.7</v>
      </c>
      <c r="P108" s="13">
        <f t="shared" si="6"/>
        <v>82221.83</v>
      </c>
      <c r="Q108" s="14">
        <f t="shared" si="7"/>
        <v>-7.8149166666666661</v>
      </c>
    </row>
    <row r="109" spans="1:17" x14ac:dyDescent="0.25">
      <c r="A109" s="9" t="s">
        <v>119</v>
      </c>
      <c r="B109" s="10">
        <v>22</v>
      </c>
      <c r="C109" s="10">
        <v>14</v>
      </c>
      <c r="D109" s="11">
        <v>36.950000000000003</v>
      </c>
      <c r="E109" s="12">
        <v>-12</v>
      </c>
      <c r="F109" s="12">
        <v>-22</v>
      </c>
      <c r="G109" s="12">
        <v>-45</v>
      </c>
      <c r="H109" s="13">
        <f t="shared" si="4"/>
        <v>80076.95</v>
      </c>
      <c r="I109" s="14">
        <f t="shared" si="5"/>
        <v>-12.379166666666666</v>
      </c>
      <c r="J109" s="10">
        <v>22</v>
      </c>
      <c r="K109" s="10">
        <v>54</v>
      </c>
      <c r="L109" s="10">
        <v>35.880000000000003</v>
      </c>
      <c r="M109" s="12">
        <v>-7</v>
      </c>
      <c r="N109" s="12">
        <v>-27</v>
      </c>
      <c r="O109" s="12">
        <v>-40.6</v>
      </c>
      <c r="P109" s="13">
        <f t="shared" si="6"/>
        <v>82475.88</v>
      </c>
      <c r="Q109" s="14">
        <f t="shared" si="7"/>
        <v>-7.4612777777777781</v>
      </c>
    </row>
    <row r="110" spans="1:17" x14ac:dyDescent="0.25">
      <c r="A110" s="9" t="s">
        <v>120</v>
      </c>
      <c r="B110" s="10">
        <v>22</v>
      </c>
      <c r="C110" s="10">
        <v>17</v>
      </c>
      <c r="D110" s="11">
        <v>31.23</v>
      </c>
      <c r="E110" s="12">
        <v>-12</v>
      </c>
      <c r="F110" s="12">
        <v>-7</v>
      </c>
      <c r="G110" s="12">
        <v>-7.4</v>
      </c>
      <c r="H110" s="13">
        <f t="shared" si="4"/>
        <v>80251.23</v>
      </c>
      <c r="I110" s="14">
        <f t="shared" si="5"/>
        <v>-12.118722222222223</v>
      </c>
      <c r="J110" s="10">
        <v>22</v>
      </c>
      <c r="K110" s="10">
        <v>58</v>
      </c>
      <c r="L110" s="10">
        <v>49.98</v>
      </c>
      <c r="M110" s="12">
        <v>-7</v>
      </c>
      <c r="N110" s="12">
        <v>-6</v>
      </c>
      <c r="O110" s="12">
        <v>-10.199999999999999</v>
      </c>
      <c r="P110" s="13">
        <f t="shared" si="6"/>
        <v>82729.98</v>
      </c>
      <c r="Q110" s="14">
        <f t="shared" si="7"/>
        <v>-7.1028333333333329</v>
      </c>
    </row>
    <row r="111" spans="1:17" x14ac:dyDescent="0.25">
      <c r="A111" s="9" t="s">
        <v>121</v>
      </c>
      <c r="B111" s="10">
        <v>22</v>
      </c>
      <c r="C111" s="10">
        <v>20</v>
      </c>
      <c r="D111" s="11">
        <v>25.19</v>
      </c>
      <c r="E111" s="12">
        <v>-11</v>
      </c>
      <c r="F111" s="12">
        <v>-51</v>
      </c>
      <c r="G111" s="12">
        <v>-23.5</v>
      </c>
      <c r="H111" s="13">
        <f t="shared" si="4"/>
        <v>80425.19</v>
      </c>
      <c r="I111" s="14">
        <f t="shared" si="5"/>
        <v>-11.856527777777778</v>
      </c>
      <c r="J111" s="10">
        <v>23</v>
      </c>
      <c r="K111" s="10">
        <v>3</v>
      </c>
      <c r="L111" s="10">
        <v>4.13</v>
      </c>
      <c r="M111" s="12">
        <v>-6</v>
      </c>
      <c r="N111" s="12">
        <v>-44</v>
      </c>
      <c r="O111" s="12">
        <v>-22.9</v>
      </c>
      <c r="P111" s="13">
        <f t="shared" si="6"/>
        <v>82984.13</v>
      </c>
      <c r="Q111" s="14">
        <f t="shared" si="7"/>
        <v>-6.7396944444444449</v>
      </c>
    </row>
    <row r="112" spans="1:17" x14ac:dyDescent="0.25">
      <c r="A112" s="9" t="s">
        <v>122</v>
      </c>
      <c r="B112" s="10">
        <v>22</v>
      </c>
      <c r="C112" s="10">
        <v>23</v>
      </c>
      <c r="D112" s="11">
        <v>18.84</v>
      </c>
      <c r="E112" s="12">
        <v>-11</v>
      </c>
      <c r="F112" s="12">
        <v>-35</v>
      </c>
      <c r="G112" s="12">
        <v>-33.4</v>
      </c>
      <c r="H112" s="13">
        <f t="shared" si="4"/>
        <v>80598.84</v>
      </c>
      <c r="I112" s="14">
        <f t="shared" si="5"/>
        <v>-11.592611111111111</v>
      </c>
      <c r="J112" s="10">
        <v>23</v>
      </c>
      <c r="K112" s="10">
        <v>7</v>
      </c>
      <c r="L112" s="10">
        <v>18.34</v>
      </c>
      <c r="M112" s="12">
        <v>-6</v>
      </c>
      <c r="N112" s="12">
        <v>-22</v>
      </c>
      <c r="O112" s="12">
        <v>-19.3</v>
      </c>
      <c r="P112" s="13">
        <f t="shared" si="6"/>
        <v>83238.34</v>
      </c>
      <c r="Q112" s="14">
        <f t="shared" si="7"/>
        <v>-6.3720277777777774</v>
      </c>
    </row>
    <row r="113" spans="1:17" x14ac:dyDescent="0.25">
      <c r="A113" s="9" t="s">
        <v>123</v>
      </c>
      <c r="B113" s="10">
        <v>22</v>
      </c>
      <c r="C113" s="10">
        <v>26</v>
      </c>
      <c r="D113" s="11">
        <v>12.17</v>
      </c>
      <c r="E113" s="12">
        <v>-11</v>
      </c>
      <c r="F113" s="12">
        <v>-19</v>
      </c>
      <c r="G113" s="12">
        <v>-37.4</v>
      </c>
      <c r="H113" s="13">
        <f t="shared" si="4"/>
        <v>80772.17</v>
      </c>
      <c r="I113" s="14">
        <f t="shared" si="5"/>
        <v>-11.327055555555555</v>
      </c>
      <c r="J113" s="10">
        <v>23</v>
      </c>
      <c r="K113" s="10">
        <v>11</v>
      </c>
      <c r="L113" s="10">
        <v>32.590000000000003</v>
      </c>
      <c r="M113" s="12">
        <v>-6</v>
      </c>
      <c r="N113" s="12">
        <v>0</v>
      </c>
      <c r="O113" s="12">
        <v>0</v>
      </c>
      <c r="P113" s="13">
        <f t="shared" si="6"/>
        <v>83492.59</v>
      </c>
      <c r="Q113" s="14">
        <f t="shared" si="7"/>
        <v>-6</v>
      </c>
    </row>
    <row r="114" spans="1:17" x14ac:dyDescent="0.25">
      <c r="A114" s="9" t="s">
        <v>124</v>
      </c>
      <c r="B114" s="10">
        <v>22</v>
      </c>
      <c r="C114" s="10">
        <v>29</v>
      </c>
      <c r="D114" s="11">
        <v>5.19</v>
      </c>
      <c r="E114" s="12">
        <v>-11</v>
      </c>
      <c r="F114" s="12">
        <v>-3</v>
      </c>
      <c r="G114" s="12">
        <v>-35.6</v>
      </c>
      <c r="H114" s="13">
        <f t="shared" si="4"/>
        <v>80945.19</v>
      </c>
      <c r="I114" s="14">
        <f t="shared" si="5"/>
        <v>-11.059888888888889</v>
      </c>
      <c r="J114" s="10">
        <v>23</v>
      </c>
      <c r="K114" s="10">
        <v>15</v>
      </c>
      <c r="L114" s="10">
        <v>46.89</v>
      </c>
      <c r="M114" s="12">
        <v>-5</v>
      </c>
      <c r="N114" s="12">
        <v>-37</v>
      </c>
      <c r="O114" s="12">
        <v>-25.5</v>
      </c>
      <c r="P114" s="13">
        <f t="shared" si="6"/>
        <v>83746.89</v>
      </c>
      <c r="Q114" s="14">
        <f t="shared" si="7"/>
        <v>-5.6237500000000002</v>
      </c>
    </row>
    <row r="115" spans="1:17" x14ac:dyDescent="0.25">
      <c r="A115" s="9" t="s">
        <v>125</v>
      </c>
      <c r="B115" s="10">
        <v>22</v>
      </c>
      <c r="C115" s="10">
        <v>31</v>
      </c>
      <c r="D115" s="11">
        <v>57.91</v>
      </c>
      <c r="E115" s="12">
        <v>-10</v>
      </c>
      <c r="F115" s="12">
        <v>-47</v>
      </c>
      <c r="G115" s="12">
        <v>-28.3</v>
      </c>
      <c r="H115" s="13">
        <f t="shared" si="4"/>
        <v>81117.91</v>
      </c>
      <c r="I115" s="14">
        <f t="shared" si="5"/>
        <v>-10.791194444444445</v>
      </c>
      <c r="J115" s="10">
        <v>23</v>
      </c>
      <c r="K115" s="10">
        <v>20</v>
      </c>
      <c r="L115" s="10">
        <v>1.24</v>
      </c>
      <c r="M115" s="12">
        <v>-5</v>
      </c>
      <c r="N115" s="12">
        <v>-14</v>
      </c>
      <c r="O115" s="12">
        <v>-36.5</v>
      </c>
      <c r="P115" s="13">
        <f t="shared" si="6"/>
        <v>84001.24</v>
      </c>
      <c r="Q115" s="14">
        <f t="shared" si="7"/>
        <v>-5.2434722222222225</v>
      </c>
    </row>
    <row r="116" spans="1:17" x14ac:dyDescent="0.25">
      <c r="A116" s="9" t="s">
        <v>126</v>
      </c>
      <c r="B116" s="10">
        <v>22</v>
      </c>
      <c r="C116" s="10">
        <v>34</v>
      </c>
      <c r="D116" s="11">
        <v>50.32</v>
      </c>
      <c r="E116" s="12">
        <v>-10</v>
      </c>
      <c r="F116" s="12">
        <v>-31</v>
      </c>
      <c r="G116" s="12">
        <v>-15.5</v>
      </c>
      <c r="H116" s="13">
        <f t="shared" si="4"/>
        <v>81290.320000000007</v>
      </c>
      <c r="I116" s="14">
        <f t="shared" si="5"/>
        <v>-10.520972222222222</v>
      </c>
      <c r="J116" s="10">
        <v>23</v>
      </c>
      <c r="K116" s="10">
        <v>24</v>
      </c>
      <c r="L116" s="10">
        <v>15.65</v>
      </c>
      <c r="M116" s="12">
        <v>-4</v>
      </c>
      <c r="N116" s="12">
        <v>-51</v>
      </c>
      <c r="O116" s="12">
        <v>-33.5</v>
      </c>
      <c r="P116" s="13">
        <f t="shared" si="6"/>
        <v>84255.65</v>
      </c>
      <c r="Q116" s="14">
        <f t="shared" si="7"/>
        <v>-4.8593055555555553</v>
      </c>
    </row>
    <row r="117" spans="1:17" x14ac:dyDescent="0.25">
      <c r="A117" s="9" t="s">
        <v>127</v>
      </c>
      <c r="B117" s="10">
        <v>22</v>
      </c>
      <c r="C117" s="10">
        <v>37</v>
      </c>
      <c r="D117" s="11">
        <v>42.42</v>
      </c>
      <c r="E117" s="12">
        <v>-10</v>
      </c>
      <c r="F117" s="12">
        <v>-14</v>
      </c>
      <c r="G117" s="12">
        <v>-57.6</v>
      </c>
      <c r="H117" s="13">
        <f t="shared" si="4"/>
        <v>81462.42</v>
      </c>
      <c r="I117" s="14">
        <f t="shared" si="5"/>
        <v>-10.249333333333333</v>
      </c>
      <c r="J117" s="10">
        <v>23</v>
      </c>
      <c r="K117" s="10">
        <v>28</v>
      </c>
      <c r="L117" s="10">
        <v>30.11</v>
      </c>
      <c r="M117" s="12">
        <v>-4</v>
      </c>
      <c r="N117" s="12">
        <v>-28</v>
      </c>
      <c r="O117" s="12">
        <v>-17.2</v>
      </c>
      <c r="P117" s="13">
        <f t="shared" si="6"/>
        <v>84510.11</v>
      </c>
      <c r="Q117" s="14">
        <f t="shared" si="7"/>
        <v>-4.4714444444444448</v>
      </c>
    </row>
    <row r="118" spans="1:17" x14ac:dyDescent="0.25">
      <c r="A118" s="9" t="s">
        <v>128</v>
      </c>
      <c r="B118" s="10">
        <v>22</v>
      </c>
      <c r="C118" s="10">
        <v>40</v>
      </c>
      <c r="D118" s="11">
        <v>34.229999999999997</v>
      </c>
      <c r="E118" s="12">
        <v>-9</v>
      </c>
      <c r="F118" s="12">
        <v>-58</v>
      </c>
      <c r="G118" s="12">
        <v>-34.6</v>
      </c>
      <c r="H118" s="13">
        <f t="shared" si="4"/>
        <v>81634.23</v>
      </c>
      <c r="I118" s="14">
        <f t="shared" si="5"/>
        <v>-9.9762777777777778</v>
      </c>
      <c r="J118" s="10">
        <v>23</v>
      </c>
      <c r="K118" s="10">
        <v>32</v>
      </c>
      <c r="L118" s="10">
        <v>44.63</v>
      </c>
      <c r="M118" s="12">
        <v>-4</v>
      </c>
      <c r="N118" s="12">
        <v>-4</v>
      </c>
      <c r="O118" s="12">
        <v>-48.3</v>
      </c>
      <c r="P118" s="13">
        <f t="shared" si="6"/>
        <v>84764.63</v>
      </c>
      <c r="Q118" s="14">
        <f t="shared" si="7"/>
        <v>-4.0800833333333335</v>
      </c>
    </row>
    <row r="119" spans="1:17" x14ac:dyDescent="0.25">
      <c r="A119" s="9" t="s">
        <v>129</v>
      </c>
      <c r="B119" s="10">
        <v>22</v>
      </c>
      <c r="C119" s="10">
        <v>43</v>
      </c>
      <c r="D119" s="11">
        <v>25.73</v>
      </c>
      <c r="E119" s="12">
        <v>-9</v>
      </c>
      <c r="F119" s="12">
        <v>-42</v>
      </c>
      <c r="G119" s="12">
        <v>-6.8</v>
      </c>
      <c r="H119" s="13">
        <f t="shared" si="4"/>
        <v>81805.73</v>
      </c>
      <c r="I119" s="14">
        <f t="shared" si="5"/>
        <v>-9.7018888888888881</v>
      </c>
      <c r="J119" s="10">
        <v>23</v>
      </c>
      <c r="K119" s="10">
        <v>36</v>
      </c>
      <c r="L119" s="10">
        <v>59.21</v>
      </c>
      <c r="M119" s="12">
        <v>-3</v>
      </c>
      <c r="N119" s="12">
        <v>-41</v>
      </c>
      <c r="O119" s="12">
        <v>-7.3</v>
      </c>
      <c r="P119" s="13">
        <f t="shared" si="6"/>
        <v>85019.21</v>
      </c>
      <c r="Q119" s="14">
        <f t="shared" si="7"/>
        <v>-3.6853611111111113</v>
      </c>
    </row>
    <row r="120" spans="1:17" x14ac:dyDescent="0.25">
      <c r="A120" s="9" t="s">
        <v>130</v>
      </c>
      <c r="B120" s="10">
        <v>22</v>
      </c>
      <c r="C120" s="10">
        <v>46</v>
      </c>
      <c r="D120" s="11">
        <v>16.920000000000002</v>
      </c>
      <c r="E120" s="12">
        <v>-9</v>
      </c>
      <c r="F120" s="12">
        <v>-25</v>
      </c>
      <c r="G120" s="12">
        <v>-34.4</v>
      </c>
      <c r="H120" s="13">
        <f t="shared" si="4"/>
        <v>81976.92</v>
      </c>
      <c r="I120" s="14">
        <f t="shared" si="5"/>
        <v>-9.4262222222222221</v>
      </c>
      <c r="J120" s="10">
        <v>23</v>
      </c>
      <c r="K120" s="10">
        <v>41</v>
      </c>
      <c r="L120" s="10">
        <v>13.87</v>
      </c>
      <c r="M120" s="12">
        <v>-3</v>
      </c>
      <c r="N120" s="12">
        <v>-17</v>
      </c>
      <c r="O120" s="12">
        <v>-14.8</v>
      </c>
      <c r="P120" s="13">
        <f t="shared" si="6"/>
        <v>85273.87</v>
      </c>
      <c r="Q120" s="14">
        <f t="shared" si="7"/>
        <v>-3.2874444444444442</v>
      </c>
    </row>
    <row r="121" spans="1:17" x14ac:dyDescent="0.25">
      <c r="A121" s="9" t="s">
        <v>131</v>
      </c>
      <c r="B121" s="10">
        <v>22</v>
      </c>
      <c r="C121" s="10">
        <v>49</v>
      </c>
      <c r="D121" s="11">
        <v>7.82</v>
      </c>
      <c r="E121" s="12">
        <v>-9</v>
      </c>
      <c r="F121" s="12">
        <v>-8</v>
      </c>
      <c r="G121" s="12">
        <v>-57.6</v>
      </c>
      <c r="H121" s="13">
        <f t="shared" si="4"/>
        <v>82147.820000000007</v>
      </c>
      <c r="I121" s="14">
        <f t="shared" si="5"/>
        <v>-9.1493333333333329</v>
      </c>
      <c r="J121" s="10">
        <v>23</v>
      </c>
      <c r="K121" s="10">
        <v>45</v>
      </c>
      <c r="L121" s="10">
        <v>28.6</v>
      </c>
      <c r="M121" s="12">
        <v>-2</v>
      </c>
      <c r="N121" s="12">
        <v>-53</v>
      </c>
      <c r="O121" s="12">
        <v>-11.7</v>
      </c>
      <c r="P121" s="13">
        <f t="shared" si="6"/>
        <v>85528.6</v>
      </c>
      <c r="Q121" s="14">
        <f t="shared" si="7"/>
        <v>-2.8865833333333333</v>
      </c>
    </row>
    <row r="122" spans="1:17" x14ac:dyDescent="0.25">
      <c r="A122" s="9" t="s">
        <v>132</v>
      </c>
      <c r="B122" s="10">
        <v>22</v>
      </c>
      <c r="C122" s="10">
        <v>51</v>
      </c>
      <c r="D122" s="11">
        <v>58.43</v>
      </c>
      <c r="E122" s="12">
        <v>-8</v>
      </c>
      <c r="F122" s="12">
        <v>-52</v>
      </c>
      <c r="G122" s="12">
        <v>-16.600000000000001</v>
      </c>
      <c r="H122" s="13">
        <f t="shared" si="4"/>
        <v>82318.429999999993</v>
      </c>
      <c r="I122" s="14">
        <f t="shared" si="5"/>
        <v>-8.8712777777777774</v>
      </c>
      <c r="J122" s="10">
        <v>23</v>
      </c>
      <c r="K122" s="10">
        <v>49</v>
      </c>
      <c r="L122" s="10">
        <v>43.43</v>
      </c>
      <c r="M122" s="12">
        <v>-2</v>
      </c>
      <c r="N122" s="12">
        <v>-28</v>
      </c>
      <c r="O122" s="12">
        <v>-58.4</v>
      </c>
      <c r="P122" s="13">
        <f t="shared" si="6"/>
        <v>85783.43</v>
      </c>
      <c r="Q122" s="14">
        <f t="shared" si="7"/>
        <v>-2.4828888888888891</v>
      </c>
    </row>
    <row r="123" spans="1:17" x14ac:dyDescent="0.25">
      <c r="A123" s="9" t="s">
        <v>133</v>
      </c>
      <c r="B123" s="10">
        <v>22</v>
      </c>
      <c r="C123" s="10">
        <v>54</v>
      </c>
      <c r="D123" s="11">
        <v>48.74</v>
      </c>
      <c r="E123" s="12">
        <v>-8</v>
      </c>
      <c r="F123" s="12">
        <v>-35</v>
      </c>
      <c r="G123" s="12">
        <v>-31.6</v>
      </c>
      <c r="H123" s="13">
        <f t="shared" si="4"/>
        <v>82488.740000000005</v>
      </c>
      <c r="I123" s="14">
        <f t="shared" si="5"/>
        <v>-8.5921111111111106</v>
      </c>
      <c r="J123" s="10">
        <v>23</v>
      </c>
      <c r="K123" s="10">
        <v>53</v>
      </c>
      <c r="L123" s="10">
        <v>58.35</v>
      </c>
      <c r="M123" s="12">
        <v>-2</v>
      </c>
      <c r="N123" s="12">
        <v>-4</v>
      </c>
      <c r="O123" s="12">
        <v>-35.700000000000003</v>
      </c>
      <c r="P123" s="13">
        <f t="shared" si="6"/>
        <v>86038.35</v>
      </c>
      <c r="Q123" s="14">
        <f t="shared" si="7"/>
        <v>-2.0765833333333337</v>
      </c>
    </row>
    <row r="124" spans="1:17" x14ac:dyDescent="0.25">
      <c r="A124" s="9" t="s">
        <v>134</v>
      </c>
      <c r="B124" s="10">
        <v>22</v>
      </c>
      <c r="C124" s="10">
        <v>57</v>
      </c>
      <c r="D124" s="11">
        <v>38.76</v>
      </c>
      <c r="E124" s="12">
        <v>-8</v>
      </c>
      <c r="F124" s="12">
        <v>-18</v>
      </c>
      <c r="G124" s="12">
        <v>-42.8</v>
      </c>
      <c r="H124" s="13">
        <f t="shared" si="4"/>
        <v>82658.759999999995</v>
      </c>
      <c r="I124" s="14">
        <f t="shared" si="5"/>
        <v>-8.3118888888888893</v>
      </c>
      <c r="J124" s="10">
        <v>23</v>
      </c>
      <c r="K124" s="10">
        <v>58</v>
      </c>
      <c r="L124" s="10">
        <v>13.39</v>
      </c>
      <c r="M124" s="12">
        <v>-1</v>
      </c>
      <c r="N124" s="12">
        <v>-40</v>
      </c>
      <c r="O124" s="12">
        <v>-4.0999999999999996</v>
      </c>
      <c r="P124" s="13">
        <f t="shared" si="6"/>
        <v>86293.39</v>
      </c>
      <c r="Q124" s="14">
        <f t="shared" si="7"/>
        <v>-1.6678055555555553</v>
      </c>
    </row>
    <row r="125" spans="1:17" x14ac:dyDescent="0.25">
      <c r="A125" s="9" t="s">
        <v>135</v>
      </c>
      <c r="B125" s="10">
        <v>23</v>
      </c>
      <c r="C125" s="10">
        <v>0</v>
      </c>
      <c r="D125" s="11">
        <v>28.49</v>
      </c>
      <c r="E125" s="12">
        <v>-8</v>
      </c>
      <c r="F125" s="12">
        <v>-1</v>
      </c>
      <c r="G125" s="12">
        <v>-50.3</v>
      </c>
      <c r="H125" s="13">
        <f t="shared" si="4"/>
        <v>82828.490000000005</v>
      </c>
      <c r="I125" s="14">
        <f t="shared" si="5"/>
        <v>-8.0306388888888893</v>
      </c>
      <c r="J125" s="10">
        <v>0</v>
      </c>
      <c r="K125" s="10">
        <v>2</v>
      </c>
      <c r="L125" s="10">
        <v>28.56</v>
      </c>
      <c r="M125" s="12">
        <v>-1</v>
      </c>
      <c r="N125" s="12">
        <v>-15</v>
      </c>
      <c r="O125" s="12">
        <v>-24.4</v>
      </c>
      <c r="P125" s="13">
        <f t="shared" si="6"/>
        <v>148.56</v>
      </c>
      <c r="Q125" s="14">
        <f t="shared" si="7"/>
        <v>-1.2567777777777778</v>
      </c>
    </row>
    <row r="126" spans="1:17" x14ac:dyDescent="0.25">
      <c r="A126" s="9" t="s">
        <v>136</v>
      </c>
      <c r="B126" s="10">
        <v>23</v>
      </c>
      <c r="C126" s="10">
        <v>3</v>
      </c>
      <c r="D126" s="11">
        <v>17.940000000000001</v>
      </c>
      <c r="E126" s="12">
        <v>-7</v>
      </c>
      <c r="F126" s="12">
        <v>-44</v>
      </c>
      <c r="G126" s="12">
        <v>-54.4</v>
      </c>
      <c r="H126" s="13">
        <f t="shared" si="4"/>
        <v>82997.94</v>
      </c>
      <c r="I126" s="14">
        <f t="shared" si="5"/>
        <v>-7.748444444444444</v>
      </c>
      <c r="J126" s="10">
        <v>0</v>
      </c>
      <c r="K126" s="10">
        <v>6</v>
      </c>
      <c r="L126" s="10">
        <v>43.88</v>
      </c>
      <c r="M126" s="12">
        <v>0</v>
      </c>
      <c r="N126" s="12">
        <v>-50</v>
      </c>
      <c r="O126" s="12">
        <v>-37.1</v>
      </c>
      <c r="P126" s="13">
        <f t="shared" si="6"/>
        <v>403.88</v>
      </c>
      <c r="Q126" s="14">
        <f t="shared" si="7"/>
        <v>-0.84363888888888894</v>
      </c>
    </row>
    <row r="127" spans="1:17" x14ac:dyDescent="0.25">
      <c r="A127" s="9" t="s">
        <v>137</v>
      </c>
      <c r="B127" s="10">
        <v>23</v>
      </c>
      <c r="C127" s="10">
        <v>6</v>
      </c>
      <c r="D127" s="11">
        <v>7.11</v>
      </c>
      <c r="E127" s="12">
        <v>-7</v>
      </c>
      <c r="F127" s="12">
        <v>-27</v>
      </c>
      <c r="G127" s="12">
        <v>-55.2</v>
      </c>
      <c r="H127" s="13">
        <f t="shared" si="4"/>
        <v>83167.11</v>
      </c>
      <c r="I127" s="14">
        <f t="shared" si="5"/>
        <v>-7.4653333333333336</v>
      </c>
      <c r="J127" s="10">
        <v>0</v>
      </c>
      <c r="K127" s="10">
        <v>10</v>
      </c>
      <c r="L127" s="10">
        <v>59.36</v>
      </c>
      <c r="M127" s="12">
        <v>0</v>
      </c>
      <c r="N127" s="12">
        <v>-25</v>
      </c>
      <c r="O127" s="12">
        <v>-43</v>
      </c>
      <c r="P127" s="13">
        <f t="shared" si="6"/>
        <v>659.36</v>
      </c>
      <c r="Q127" s="14">
        <f t="shared" si="7"/>
        <v>-0.42861111111111111</v>
      </c>
    </row>
    <row r="128" spans="1:17" x14ac:dyDescent="0.25">
      <c r="A128" s="9" t="s">
        <v>138</v>
      </c>
      <c r="B128" s="10">
        <v>23</v>
      </c>
      <c r="C128" s="10">
        <v>8</v>
      </c>
      <c r="D128" s="11">
        <v>56</v>
      </c>
      <c r="E128" s="12">
        <v>-7</v>
      </c>
      <c r="F128" s="12">
        <v>-10</v>
      </c>
      <c r="G128" s="12">
        <v>-52.9</v>
      </c>
      <c r="H128" s="13">
        <f t="shared" si="4"/>
        <v>83336</v>
      </c>
      <c r="I128" s="14">
        <f t="shared" si="5"/>
        <v>-7.1813611111111113</v>
      </c>
      <c r="J128" s="10">
        <v>0</v>
      </c>
      <c r="K128" s="10">
        <v>15</v>
      </c>
      <c r="L128" s="10">
        <v>15.03</v>
      </c>
      <c r="M128" s="12">
        <v>0</v>
      </c>
      <c r="N128" s="12">
        <v>0</v>
      </c>
      <c r="O128" s="12">
        <v>-42.6</v>
      </c>
      <c r="P128" s="13">
        <f t="shared" si="6"/>
        <v>915.03</v>
      </c>
      <c r="Q128" s="14">
        <f t="shared" si="7"/>
        <v>-1.1833333333333335E-2</v>
      </c>
    </row>
    <row r="129" spans="1:17" x14ac:dyDescent="0.25">
      <c r="A129" s="9" t="s">
        <v>139</v>
      </c>
      <c r="B129" s="10">
        <v>23</v>
      </c>
      <c r="C129" s="10">
        <v>11</v>
      </c>
      <c r="D129" s="11">
        <v>44.63</v>
      </c>
      <c r="E129" s="12">
        <v>-6</v>
      </c>
      <c r="F129" s="12">
        <v>-53</v>
      </c>
      <c r="G129" s="12">
        <v>-47.8</v>
      </c>
      <c r="H129" s="13">
        <f t="shared" si="4"/>
        <v>83504.63</v>
      </c>
      <c r="I129" s="14">
        <f t="shared" si="5"/>
        <v>-6.8966111111111115</v>
      </c>
      <c r="J129" s="10">
        <v>0</v>
      </c>
      <c r="K129" s="10">
        <v>19</v>
      </c>
      <c r="L129" s="10">
        <v>30.89</v>
      </c>
      <c r="M129" s="12">
        <v>0</v>
      </c>
      <c r="N129" s="12">
        <v>24</v>
      </c>
      <c r="O129" s="12">
        <v>23.5</v>
      </c>
      <c r="P129" s="13">
        <f t="shared" si="6"/>
        <v>1170.8900000000001</v>
      </c>
      <c r="Q129" s="14">
        <f t="shared" si="7"/>
        <v>0.40652777777777782</v>
      </c>
    </row>
    <row r="130" spans="1:17" x14ac:dyDescent="0.25">
      <c r="A130" s="9" t="s">
        <v>140</v>
      </c>
      <c r="B130" s="10">
        <v>23</v>
      </c>
      <c r="C130" s="10">
        <v>14</v>
      </c>
      <c r="D130" s="11">
        <v>33</v>
      </c>
      <c r="E130" s="12">
        <v>-6</v>
      </c>
      <c r="F130" s="12">
        <v>-36</v>
      </c>
      <c r="G130" s="12">
        <v>-39.9</v>
      </c>
      <c r="H130" s="13">
        <f t="shared" si="4"/>
        <v>83673</v>
      </c>
      <c r="I130" s="14">
        <f t="shared" si="5"/>
        <v>-6.6110833333333332</v>
      </c>
      <c r="J130" s="10">
        <v>0</v>
      </c>
      <c r="K130" s="10">
        <v>23</v>
      </c>
      <c r="L130" s="10">
        <v>46.99</v>
      </c>
      <c r="M130" s="12">
        <v>0</v>
      </c>
      <c r="N130" s="12">
        <v>49</v>
      </c>
      <c r="O130" s="12">
        <v>34.5</v>
      </c>
      <c r="P130" s="13">
        <f t="shared" si="6"/>
        <v>1426.99</v>
      </c>
      <c r="Q130" s="14">
        <f t="shared" si="7"/>
        <v>0.82624999999999993</v>
      </c>
    </row>
    <row r="131" spans="1:17" x14ac:dyDescent="0.25">
      <c r="A131" s="9" t="s">
        <v>141</v>
      </c>
      <c r="B131" s="10">
        <v>23</v>
      </c>
      <c r="C131" s="10">
        <v>17</v>
      </c>
      <c r="D131" s="11">
        <v>21.11</v>
      </c>
      <c r="E131" s="12">
        <v>-6</v>
      </c>
      <c r="F131" s="12">
        <v>-19</v>
      </c>
      <c r="G131" s="12">
        <v>-29.5</v>
      </c>
      <c r="H131" s="13">
        <f t="shared" si="4"/>
        <v>83841.11</v>
      </c>
      <c r="I131" s="14">
        <f t="shared" si="5"/>
        <v>-6.3248611111111108</v>
      </c>
      <c r="J131" s="10">
        <v>0</v>
      </c>
      <c r="K131" s="10">
        <v>28</v>
      </c>
      <c r="L131" s="10">
        <v>3.33</v>
      </c>
      <c r="M131" s="12">
        <v>1</v>
      </c>
      <c r="N131" s="12">
        <v>14</v>
      </c>
      <c r="O131" s="12">
        <v>49.9</v>
      </c>
      <c r="P131" s="13">
        <f t="shared" si="6"/>
        <v>1683.33</v>
      </c>
      <c r="Q131" s="14">
        <f t="shared" si="7"/>
        <v>1.2471944444444445</v>
      </c>
    </row>
    <row r="132" spans="1:17" x14ac:dyDescent="0.25">
      <c r="A132" s="9" t="s">
        <v>142</v>
      </c>
      <c r="B132" s="10">
        <v>23</v>
      </c>
      <c r="C132" s="10">
        <v>20</v>
      </c>
      <c r="D132" s="11">
        <v>8.9700000000000006</v>
      </c>
      <c r="E132" s="12">
        <v>-6</v>
      </c>
      <c r="F132" s="12">
        <v>-2</v>
      </c>
      <c r="G132" s="12">
        <v>-16.8</v>
      </c>
      <c r="H132" s="13">
        <f t="shared" ref="H132:H195" si="8">B132*3600+C132*60+D132</f>
        <v>84008.97</v>
      </c>
      <c r="I132" s="14">
        <f t="shared" ref="I132:I195" si="9">F132/60+G132/3600+E132</f>
        <v>-6.0380000000000003</v>
      </c>
      <c r="J132" s="10">
        <v>0</v>
      </c>
      <c r="K132" s="10">
        <v>32</v>
      </c>
      <c r="L132" s="10">
        <v>19.95</v>
      </c>
      <c r="M132" s="12">
        <v>1</v>
      </c>
      <c r="N132" s="12">
        <v>40</v>
      </c>
      <c r="O132" s="12">
        <v>9</v>
      </c>
      <c r="P132" s="13">
        <f t="shared" ref="P132:P195" si="10">J132*3600+K132*60+L132</f>
        <v>1939.95</v>
      </c>
      <c r="Q132" s="14">
        <f t="shared" ref="Q132:Q195" si="11">M132+N132/60+O132/3600</f>
        <v>1.6691666666666665</v>
      </c>
    </row>
    <row r="133" spans="1:17" x14ac:dyDescent="0.25">
      <c r="A133" s="9" t="s">
        <v>143</v>
      </c>
      <c r="B133" s="10">
        <v>23</v>
      </c>
      <c r="C133" s="10">
        <v>22</v>
      </c>
      <c r="D133" s="11">
        <v>56.58</v>
      </c>
      <c r="E133" s="12">
        <v>-5</v>
      </c>
      <c r="F133" s="12">
        <v>-45</v>
      </c>
      <c r="G133" s="12">
        <v>-1.8</v>
      </c>
      <c r="H133" s="13">
        <f t="shared" si="8"/>
        <v>84176.58</v>
      </c>
      <c r="I133" s="14">
        <f t="shared" si="9"/>
        <v>-5.7504999999999997</v>
      </c>
      <c r="J133" s="10">
        <v>0</v>
      </c>
      <c r="K133" s="10">
        <v>36</v>
      </c>
      <c r="L133" s="10">
        <v>36.86</v>
      </c>
      <c r="M133" s="12">
        <v>2</v>
      </c>
      <c r="N133" s="12">
        <v>5</v>
      </c>
      <c r="O133" s="12">
        <v>31.2</v>
      </c>
      <c r="P133" s="13">
        <f t="shared" si="10"/>
        <v>2196.86</v>
      </c>
      <c r="Q133" s="14">
        <f t="shared" si="11"/>
        <v>2.0920000000000001</v>
      </c>
    </row>
    <row r="134" spans="1:17" x14ac:dyDescent="0.25">
      <c r="A134" s="9" t="s">
        <v>144</v>
      </c>
      <c r="B134" s="10">
        <v>23</v>
      </c>
      <c r="C134" s="10">
        <v>25</v>
      </c>
      <c r="D134" s="11">
        <v>43.96</v>
      </c>
      <c r="E134" s="12">
        <v>-5</v>
      </c>
      <c r="F134" s="12">
        <v>-27</v>
      </c>
      <c r="G134" s="12">
        <v>-44.8</v>
      </c>
      <c r="H134" s="13">
        <f t="shared" si="8"/>
        <v>84343.96</v>
      </c>
      <c r="I134" s="14">
        <f t="shared" si="9"/>
        <v>-5.4624444444444444</v>
      </c>
      <c r="J134" s="10">
        <v>0</v>
      </c>
      <c r="K134" s="10">
        <v>40</v>
      </c>
      <c r="L134" s="10">
        <v>54.09</v>
      </c>
      <c r="M134" s="12">
        <v>2</v>
      </c>
      <c r="N134" s="12">
        <v>30</v>
      </c>
      <c r="O134" s="12">
        <v>55.9</v>
      </c>
      <c r="P134" s="13">
        <f t="shared" si="10"/>
        <v>2454.09</v>
      </c>
      <c r="Q134" s="14">
        <f t="shared" si="11"/>
        <v>2.5155277777777778</v>
      </c>
    </row>
    <row r="135" spans="1:17" x14ac:dyDescent="0.25">
      <c r="A135" s="9" t="s">
        <v>145</v>
      </c>
      <c r="B135" s="10">
        <v>23</v>
      </c>
      <c r="C135" s="10">
        <v>28</v>
      </c>
      <c r="D135" s="11">
        <v>31.1</v>
      </c>
      <c r="E135" s="12">
        <v>-5</v>
      </c>
      <c r="F135" s="12">
        <v>-10</v>
      </c>
      <c r="G135" s="12">
        <v>-26</v>
      </c>
      <c r="H135" s="13">
        <f t="shared" si="8"/>
        <v>84511.1</v>
      </c>
      <c r="I135" s="14">
        <f t="shared" si="9"/>
        <v>-5.1738888888888885</v>
      </c>
      <c r="J135" s="10">
        <v>0</v>
      </c>
      <c r="K135" s="10">
        <v>45</v>
      </c>
      <c r="L135" s="10">
        <v>11.68</v>
      </c>
      <c r="M135" s="12">
        <v>2</v>
      </c>
      <c r="N135" s="12">
        <v>56</v>
      </c>
      <c r="O135" s="12">
        <v>22.4</v>
      </c>
      <c r="P135" s="13">
        <f t="shared" si="10"/>
        <v>2711.68</v>
      </c>
      <c r="Q135" s="14">
        <f t="shared" si="11"/>
        <v>2.9395555555555557</v>
      </c>
    </row>
    <row r="136" spans="1:17" x14ac:dyDescent="0.25">
      <c r="A136" s="9" t="s">
        <v>146</v>
      </c>
      <c r="B136" s="10">
        <v>23</v>
      </c>
      <c r="C136" s="10">
        <v>31</v>
      </c>
      <c r="D136" s="11">
        <v>18.03</v>
      </c>
      <c r="E136" s="12">
        <v>-4</v>
      </c>
      <c r="F136" s="12">
        <v>-53</v>
      </c>
      <c r="G136" s="12">
        <v>-5.4</v>
      </c>
      <c r="H136" s="13">
        <f t="shared" si="8"/>
        <v>84678.03</v>
      </c>
      <c r="I136" s="14">
        <f t="shared" si="9"/>
        <v>-4.8848333333333329</v>
      </c>
      <c r="J136" s="10">
        <v>0</v>
      </c>
      <c r="K136" s="10">
        <v>49</v>
      </c>
      <c r="L136" s="10">
        <v>29.64</v>
      </c>
      <c r="M136" s="12">
        <v>3</v>
      </c>
      <c r="N136" s="12">
        <v>21</v>
      </c>
      <c r="O136" s="12">
        <v>50.1</v>
      </c>
      <c r="P136" s="13">
        <f t="shared" si="10"/>
        <v>2969.64</v>
      </c>
      <c r="Q136" s="14">
        <f t="shared" si="11"/>
        <v>3.3639166666666669</v>
      </c>
    </row>
    <row r="137" spans="1:17" x14ac:dyDescent="0.25">
      <c r="A137" s="9" t="s">
        <v>147</v>
      </c>
      <c r="B137" s="10">
        <v>23</v>
      </c>
      <c r="C137" s="10">
        <v>34</v>
      </c>
      <c r="D137" s="11">
        <v>4.74</v>
      </c>
      <c r="E137" s="12">
        <v>-4</v>
      </c>
      <c r="F137" s="12">
        <v>-35</v>
      </c>
      <c r="G137" s="12">
        <v>-43.3</v>
      </c>
      <c r="H137" s="13">
        <f t="shared" si="8"/>
        <v>84844.74</v>
      </c>
      <c r="I137" s="14">
        <f t="shared" si="9"/>
        <v>-4.595361111111111</v>
      </c>
      <c r="J137" s="10">
        <v>0</v>
      </c>
      <c r="K137" s="10">
        <v>53</v>
      </c>
      <c r="L137" s="10">
        <v>48</v>
      </c>
      <c r="M137" s="12">
        <v>3</v>
      </c>
      <c r="N137" s="12">
        <v>47</v>
      </c>
      <c r="O137" s="12">
        <v>18.399999999999999</v>
      </c>
      <c r="P137" s="13">
        <f t="shared" si="10"/>
        <v>3228</v>
      </c>
      <c r="Q137" s="14">
        <f t="shared" si="11"/>
        <v>3.7884444444444445</v>
      </c>
    </row>
    <row r="138" spans="1:17" x14ac:dyDescent="0.25">
      <c r="A138" s="9" t="s">
        <v>148</v>
      </c>
      <c r="B138" s="10">
        <v>23</v>
      </c>
      <c r="C138" s="10">
        <v>36</v>
      </c>
      <c r="D138" s="11">
        <v>51.24</v>
      </c>
      <c r="E138" s="12">
        <v>-4</v>
      </c>
      <c r="F138" s="12">
        <v>-18</v>
      </c>
      <c r="G138" s="12">
        <v>-19.8</v>
      </c>
      <c r="H138" s="13">
        <f t="shared" si="8"/>
        <v>85011.24</v>
      </c>
      <c r="I138" s="14">
        <f t="shared" si="9"/>
        <v>-4.3055000000000003</v>
      </c>
      <c r="J138" s="10">
        <v>0</v>
      </c>
      <c r="K138" s="10">
        <v>58</v>
      </c>
      <c r="L138" s="10">
        <v>6.81</v>
      </c>
      <c r="M138" s="12">
        <v>4</v>
      </c>
      <c r="N138" s="12">
        <v>12</v>
      </c>
      <c r="O138" s="12">
        <v>46.7</v>
      </c>
      <c r="P138" s="13">
        <f t="shared" si="10"/>
        <v>3486.81</v>
      </c>
      <c r="Q138" s="14">
        <f t="shared" si="11"/>
        <v>4.2129722222222226</v>
      </c>
    </row>
    <row r="139" spans="1:17" x14ac:dyDescent="0.25">
      <c r="A139" s="9" t="s">
        <v>149</v>
      </c>
      <c r="B139" s="10">
        <v>23</v>
      </c>
      <c r="C139" s="10">
        <v>39</v>
      </c>
      <c r="D139" s="11">
        <v>37.54</v>
      </c>
      <c r="E139" s="12">
        <v>-4</v>
      </c>
      <c r="F139" s="12">
        <v>0</v>
      </c>
      <c r="G139" s="12">
        <v>-55.1</v>
      </c>
      <c r="H139" s="13">
        <f t="shared" si="8"/>
        <v>85177.54</v>
      </c>
      <c r="I139" s="14">
        <f t="shared" si="9"/>
        <v>-4.0153055555555559</v>
      </c>
      <c r="J139" s="10">
        <v>1</v>
      </c>
      <c r="K139" s="10">
        <v>2</v>
      </c>
      <c r="L139" s="10">
        <v>26.07</v>
      </c>
      <c r="M139" s="12">
        <v>4</v>
      </c>
      <c r="N139" s="12">
        <v>38</v>
      </c>
      <c r="O139" s="12">
        <v>14.3</v>
      </c>
      <c r="P139" s="13">
        <f t="shared" si="10"/>
        <v>3746.07</v>
      </c>
      <c r="Q139" s="14">
        <f t="shared" si="11"/>
        <v>4.6373055555555549</v>
      </c>
    </row>
    <row r="140" spans="1:17" x14ac:dyDescent="0.25">
      <c r="A140" s="9" t="s">
        <v>150</v>
      </c>
      <c r="B140" s="10">
        <v>23</v>
      </c>
      <c r="C140" s="10">
        <v>42</v>
      </c>
      <c r="D140" s="11">
        <v>23.64</v>
      </c>
      <c r="E140" s="12">
        <v>-3</v>
      </c>
      <c r="F140" s="12">
        <v>-43</v>
      </c>
      <c r="G140" s="12">
        <v>-29.4</v>
      </c>
      <c r="H140" s="13">
        <f t="shared" si="8"/>
        <v>85343.64</v>
      </c>
      <c r="I140" s="14">
        <f t="shared" si="9"/>
        <v>-3.7248333333333332</v>
      </c>
      <c r="J140" s="10">
        <v>1</v>
      </c>
      <c r="K140" s="10">
        <v>6</v>
      </c>
      <c r="L140" s="10">
        <v>45.83</v>
      </c>
      <c r="M140" s="12">
        <v>5</v>
      </c>
      <c r="N140" s="12">
        <v>3</v>
      </c>
      <c r="O140" s="12">
        <v>40.700000000000003</v>
      </c>
      <c r="P140" s="13">
        <f t="shared" si="10"/>
        <v>4005.83</v>
      </c>
      <c r="Q140" s="14">
        <f t="shared" si="11"/>
        <v>5.0613055555555553</v>
      </c>
    </row>
    <row r="141" spans="1:17" x14ac:dyDescent="0.25">
      <c r="A141" s="9" t="s">
        <v>151</v>
      </c>
      <c r="B141" s="10">
        <v>23</v>
      </c>
      <c r="C141" s="10">
        <v>45</v>
      </c>
      <c r="D141" s="11">
        <v>9.5500000000000007</v>
      </c>
      <c r="E141" s="12">
        <v>-3</v>
      </c>
      <c r="F141" s="12">
        <v>-26</v>
      </c>
      <c r="G141" s="12">
        <v>-2.7</v>
      </c>
      <c r="H141" s="13">
        <f t="shared" si="8"/>
        <v>85509.55</v>
      </c>
      <c r="I141" s="14">
        <f t="shared" si="9"/>
        <v>-3.4340833333333332</v>
      </c>
      <c r="J141" s="10">
        <v>1</v>
      </c>
      <c r="K141" s="10">
        <v>11</v>
      </c>
      <c r="L141" s="10">
        <v>6.1</v>
      </c>
      <c r="M141" s="12">
        <v>5</v>
      </c>
      <c r="N141" s="12">
        <v>29</v>
      </c>
      <c r="O141" s="12">
        <v>5</v>
      </c>
      <c r="P141" s="13">
        <f t="shared" si="10"/>
        <v>4266.1000000000004</v>
      </c>
      <c r="Q141" s="14">
        <f t="shared" si="11"/>
        <v>5.4847222222222225</v>
      </c>
    </row>
    <row r="142" spans="1:17" x14ac:dyDescent="0.25">
      <c r="A142" s="9" t="s">
        <v>152</v>
      </c>
      <c r="B142" s="10">
        <v>23</v>
      </c>
      <c r="C142" s="10">
        <v>47</v>
      </c>
      <c r="D142" s="11">
        <v>55.28</v>
      </c>
      <c r="E142" s="12">
        <v>-3</v>
      </c>
      <c r="F142" s="12">
        <v>-8</v>
      </c>
      <c r="G142" s="12">
        <v>-35.299999999999997</v>
      </c>
      <c r="H142" s="13">
        <f t="shared" si="8"/>
        <v>85675.28</v>
      </c>
      <c r="I142" s="14">
        <f t="shared" si="9"/>
        <v>-3.1431388888888887</v>
      </c>
      <c r="J142" s="10">
        <v>1</v>
      </c>
      <c r="K142" s="10">
        <v>15</v>
      </c>
      <c r="L142" s="10">
        <v>26.92</v>
      </c>
      <c r="M142" s="12">
        <v>5</v>
      </c>
      <c r="N142" s="12">
        <v>54</v>
      </c>
      <c r="O142" s="12">
        <v>26.8</v>
      </c>
      <c r="P142" s="13">
        <f t="shared" si="10"/>
        <v>4526.92</v>
      </c>
      <c r="Q142" s="14">
        <f t="shared" si="11"/>
        <v>5.9074444444444447</v>
      </c>
    </row>
    <row r="143" spans="1:17" x14ac:dyDescent="0.25">
      <c r="A143" s="9" t="s">
        <v>153</v>
      </c>
      <c r="B143" s="10">
        <v>23</v>
      </c>
      <c r="C143" s="10">
        <v>50</v>
      </c>
      <c r="D143" s="11">
        <v>40.83</v>
      </c>
      <c r="E143" s="12">
        <v>-2</v>
      </c>
      <c r="F143" s="12">
        <v>-51</v>
      </c>
      <c r="G143" s="12">
        <v>-7.4</v>
      </c>
      <c r="H143" s="13">
        <f t="shared" si="8"/>
        <v>85840.83</v>
      </c>
      <c r="I143" s="14">
        <f t="shared" si="9"/>
        <v>-2.8520555555555553</v>
      </c>
      <c r="J143" s="10">
        <v>1</v>
      </c>
      <c r="K143" s="10">
        <v>19</v>
      </c>
      <c r="L143" s="10">
        <v>48.32</v>
      </c>
      <c r="M143" s="12">
        <v>6</v>
      </c>
      <c r="N143" s="12">
        <v>19</v>
      </c>
      <c r="O143" s="12">
        <v>45.3</v>
      </c>
      <c r="P143" s="13">
        <f t="shared" si="10"/>
        <v>4788.32</v>
      </c>
      <c r="Q143" s="14">
        <f t="shared" si="11"/>
        <v>6.32925</v>
      </c>
    </row>
    <row r="144" spans="1:17" x14ac:dyDescent="0.25">
      <c r="A144" s="9" t="s">
        <v>154</v>
      </c>
      <c r="B144" s="10">
        <v>23</v>
      </c>
      <c r="C144" s="10">
        <v>53</v>
      </c>
      <c r="D144" s="11">
        <v>26.19</v>
      </c>
      <c r="E144" s="12">
        <v>-2</v>
      </c>
      <c r="F144" s="12">
        <v>-33</v>
      </c>
      <c r="G144" s="12">
        <v>-39.200000000000003</v>
      </c>
      <c r="H144" s="13">
        <f t="shared" si="8"/>
        <v>86006.19</v>
      </c>
      <c r="I144" s="14">
        <f t="shared" si="9"/>
        <v>-2.560888888888889</v>
      </c>
      <c r="J144" s="10">
        <v>1</v>
      </c>
      <c r="K144" s="10">
        <v>24</v>
      </c>
      <c r="L144" s="10">
        <v>10.31</v>
      </c>
      <c r="M144" s="12">
        <v>6</v>
      </c>
      <c r="N144" s="12">
        <v>44</v>
      </c>
      <c r="O144" s="12">
        <v>59.9</v>
      </c>
      <c r="P144" s="13">
        <f t="shared" si="10"/>
        <v>5050.3100000000004</v>
      </c>
      <c r="Q144" s="14">
        <f t="shared" si="11"/>
        <v>6.7499722222222225</v>
      </c>
    </row>
    <row r="145" spans="1:17" x14ac:dyDescent="0.25">
      <c r="A145" s="9" t="s">
        <v>155</v>
      </c>
      <c r="B145" s="10">
        <v>23</v>
      </c>
      <c r="C145" s="10">
        <v>56</v>
      </c>
      <c r="D145" s="11">
        <v>11.38</v>
      </c>
      <c r="E145" s="12">
        <v>-2</v>
      </c>
      <c r="F145" s="12">
        <v>-16</v>
      </c>
      <c r="G145" s="12">
        <v>-10.8</v>
      </c>
      <c r="H145" s="13">
        <f t="shared" si="8"/>
        <v>86171.38</v>
      </c>
      <c r="I145" s="14">
        <f t="shared" si="9"/>
        <v>-2.2696666666666667</v>
      </c>
      <c r="J145" s="10">
        <v>1</v>
      </c>
      <c r="K145" s="10">
        <v>28</v>
      </c>
      <c r="L145" s="10">
        <v>32.93</v>
      </c>
      <c r="M145" s="12">
        <v>7</v>
      </c>
      <c r="N145" s="12">
        <v>10</v>
      </c>
      <c r="O145" s="12">
        <v>9.9</v>
      </c>
      <c r="P145" s="13">
        <f t="shared" si="10"/>
        <v>5312.93</v>
      </c>
      <c r="Q145" s="14">
        <f t="shared" si="11"/>
        <v>7.1694166666666668</v>
      </c>
    </row>
    <row r="146" spans="1:17" x14ac:dyDescent="0.25">
      <c r="A146" s="9" t="s">
        <v>156</v>
      </c>
      <c r="B146" s="10">
        <v>23</v>
      </c>
      <c r="C146" s="10">
        <v>58</v>
      </c>
      <c r="D146" s="11">
        <v>56.39</v>
      </c>
      <c r="E146" s="12">
        <v>-1</v>
      </c>
      <c r="F146" s="12">
        <v>-58</v>
      </c>
      <c r="G146" s="12">
        <v>-42.5</v>
      </c>
      <c r="H146" s="13">
        <f t="shared" si="8"/>
        <v>86336.39</v>
      </c>
      <c r="I146" s="14">
        <f t="shared" si="9"/>
        <v>-1.9784722222222222</v>
      </c>
      <c r="J146" s="10">
        <v>1</v>
      </c>
      <c r="K146" s="10">
        <v>32</v>
      </c>
      <c r="L146" s="10">
        <v>56.2</v>
      </c>
      <c r="M146" s="12">
        <v>7</v>
      </c>
      <c r="N146" s="12">
        <v>35</v>
      </c>
      <c r="O146" s="12">
        <v>14.5</v>
      </c>
      <c r="P146" s="13">
        <f t="shared" si="10"/>
        <v>5576.2</v>
      </c>
      <c r="Q146" s="14">
        <f t="shared" si="11"/>
        <v>7.587361111111111</v>
      </c>
    </row>
    <row r="147" spans="1:17" x14ac:dyDescent="0.25">
      <c r="A147" s="9" t="s">
        <v>157</v>
      </c>
      <c r="B147" s="10">
        <v>0</v>
      </c>
      <c r="C147" s="10">
        <v>1</v>
      </c>
      <c r="D147" s="11">
        <v>41.23</v>
      </c>
      <c r="E147" s="12">
        <v>-1</v>
      </c>
      <c r="F147" s="12">
        <v>-41</v>
      </c>
      <c r="G147" s="12">
        <v>-14.4</v>
      </c>
      <c r="H147" s="13">
        <f t="shared" si="8"/>
        <v>101.22999999999999</v>
      </c>
      <c r="I147" s="14">
        <f t="shared" si="9"/>
        <v>-1.6873333333333334</v>
      </c>
      <c r="J147" s="10">
        <v>1</v>
      </c>
      <c r="K147" s="10">
        <v>37</v>
      </c>
      <c r="L147" s="10">
        <v>20.13</v>
      </c>
      <c r="M147" s="12">
        <v>8</v>
      </c>
      <c r="N147" s="12">
        <v>0</v>
      </c>
      <c r="O147" s="12">
        <v>13.1</v>
      </c>
      <c r="P147" s="13">
        <f t="shared" si="10"/>
        <v>5840.13</v>
      </c>
      <c r="Q147" s="14">
        <f t="shared" si="11"/>
        <v>8.0036388888888883</v>
      </c>
    </row>
    <row r="148" spans="1:17" x14ac:dyDescent="0.25">
      <c r="A148" s="9" t="s">
        <v>158</v>
      </c>
      <c r="B148" s="10">
        <v>0</v>
      </c>
      <c r="C148" s="10">
        <v>4</v>
      </c>
      <c r="D148" s="11">
        <v>25.89</v>
      </c>
      <c r="E148" s="12">
        <v>-1</v>
      </c>
      <c r="F148" s="12">
        <v>-23</v>
      </c>
      <c r="G148" s="12">
        <v>-46.8</v>
      </c>
      <c r="H148" s="13">
        <f t="shared" si="8"/>
        <v>265.89</v>
      </c>
      <c r="I148" s="14">
        <f t="shared" si="9"/>
        <v>-1.3963333333333334</v>
      </c>
      <c r="J148" s="10">
        <v>1</v>
      </c>
      <c r="K148" s="10">
        <v>41</v>
      </c>
      <c r="L148" s="10">
        <v>44.76</v>
      </c>
      <c r="M148" s="12">
        <v>8</v>
      </c>
      <c r="N148" s="12">
        <v>25</v>
      </c>
      <c r="O148" s="12">
        <v>5</v>
      </c>
      <c r="P148" s="13">
        <f t="shared" si="10"/>
        <v>6104.76</v>
      </c>
      <c r="Q148" s="14">
        <f t="shared" si="11"/>
        <v>8.4180555555555543</v>
      </c>
    </row>
    <row r="149" spans="1:17" x14ac:dyDescent="0.25">
      <c r="A149" s="9" t="s">
        <v>159</v>
      </c>
      <c r="B149" s="10">
        <v>0</v>
      </c>
      <c r="C149" s="10">
        <v>7</v>
      </c>
      <c r="D149" s="11">
        <v>10.39</v>
      </c>
      <c r="E149" s="12">
        <v>-1</v>
      </c>
      <c r="F149" s="12">
        <v>-6</v>
      </c>
      <c r="G149" s="12">
        <v>-19.8</v>
      </c>
      <c r="H149" s="13">
        <f t="shared" si="8"/>
        <v>430.39</v>
      </c>
      <c r="I149" s="14">
        <f t="shared" si="9"/>
        <v>-1.1054999999999999</v>
      </c>
      <c r="J149" s="10">
        <v>1</v>
      </c>
      <c r="K149" s="10">
        <v>46</v>
      </c>
      <c r="L149" s="10">
        <v>10.1</v>
      </c>
      <c r="M149" s="12">
        <v>8</v>
      </c>
      <c r="N149" s="12">
        <v>49</v>
      </c>
      <c r="O149" s="12">
        <v>49.5</v>
      </c>
      <c r="P149" s="13">
        <f t="shared" si="10"/>
        <v>6370.1</v>
      </c>
      <c r="Q149" s="14">
        <f t="shared" si="11"/>
        <v>8.8304166666666664</v>
      </c>
    </row>
    <row r="150" spans="1:17" x14ac:dyDescent="0.25">
      <c r="A150" s="9" t="s">
        <v>160</v>
      </c>
      <c r="B150" s="10">
        <v>0</v>
      </c>
      <c r="C150" s="10">
        <v>9</v>
      </c>
      <c r="D150" s="11">
        <v>54.71</v>
      </c>
      <c r="E150" s="12">
        <v>0</v>
      </c>
      <c r="F150" s="12">
        <v>-48</v>
      </c>
      <c r="G150" s="12">
        <v>-53.6</v>
      </c>
      <c r="H150" s="13">
        <f t="shared" si="8"/>
        <v>594.71</v>
      </c>
      <c r="I150" s="14">
        <f t="shared" si="9"/>
        <v>-0.81488888888888888</v>
      </c>
      <c r="J150" s="10">
        <v>1</v>
      </c>
      <c r="K150" s="10">
        <v>50</v>
      </c>
      <c r="L150" s="10">
        <v>36.18</v>
      </c>
      <c r="M150" s="12">
        <v>9</v>
      </c>
      <c r="N150" s="12">
        <v>14</v>
      </c>
      <c r="O150" s="12">
        <v>25.9</v>
      </c>
      <c r="P150" s="13">
        <f t="shared" si="10"/>
        <v>6636.18</v>
      </c>
      <c r="Q150" s="14">
        <f t="shared" si="11"/>
        <v>9.2405277777777766</v>
      </c>
    </row>
    <row r="151" spans="1:17" x14ac:dyDescent="0.25">
      <c r="A151" s="9" t="s">
        <v>161</v>
      </c>
      <c r="B151" s="10">
        <v>0</v>
      </c>
      <c r="C151" s="10">
        <v>12</v>
      </c>
      <c r="D151" s="11">
        <v>38.869999999999997</v>
      </c>
      <c r="E151" s="12">
        <v>0</v>
      </c>
      <c r="F151" s="12">
        <v>-31</v>
      </c>
      <c r="G151" s="12">
        <v>-28.5</v>
      </c>
      <c r="H151" s="13">
        <f t="shared" si="8"/>
        <v>758.87</v>
      </c>
      <c r="I151" s="14">
        <f t="shared" si="9"/>
        <v>-0.5245833333333334</v>
      </c>
      <c r="J151" s="10">
        <v>1</v>
      </c>
      <c r="K151" s="10">
        <v>55</v>
      </c>
      <c r="L151" s="10">
        <v>3.03</v>
      </c>
      <c r="M151" s="12">
        <v>9</v>
      </c>
      <c r="N151" s="12">
        <v>38</v>
      </c>
      <c r="O151" s="12">
        <v>53.5</v>
      </c>
      <c r="P151" s="13">
        <f t="shared" si="10"/>
        <v>6903.03</v>
      </c>
      <c r="Q151" s="14">
        <f t="shared" si="11"/>
        <v>9.6481944444444441</v>
      </c>
    </row>
    <row r="152" spans="1:17" x14ac:dyDescent="0.25">
      <c r="A152" s="9" t="s">
        <v>162</v>
      </c>
      <c r="B152" s="10">
        <v>0</v>
      </c>
      <c r="C152" s="10">
        <v>15</v>
      </c>
      <c r="D152" s="11">
        <v>22.86</v>
      </c>
      <c r="E152" s="12">
        <v>0</v>
      </c>
      <c r="F152" s="12">
        <v>-14</v>
      </c>
      <c r="G152" s="12">
        <v>-4.5</v>
      </c>
      <c r="H152" s="13">
        <f t="shared" si="8"/>
        <v>922.86</v>
      </c>
      <c r="I152" s="14">
        <f t="shared" si="9"/>
        <v>-0.23458333333333334</v>
      </c>
      <c r="J152" s="10">
        <v>1</v>
      </c>
      <c r="K152" s="10">
        <v>59</v>
      </c>
      <c r="L152" s="10">
        <v>30.65</v>
      </c>
      <c r="M152" s="12">
        <v>10</v>
      </c>
      <c r="N152" s="12">
        <v>3</v>
      </c>
      <c r="O152" s="12">
        <v>11.5</v>
      </c>
      <c r="P152" s="13">
        <f t="shared" si="10"/>
        <v>7170.65</v>
      </c>
      <c r="Q152" s="14">
        <f t="shared" si="11"/>
        <v>10.053194444444445</v>
      </c>
    </row>
    <row r="153" spans="1:17" x14ac:dyDescent="0.25">
      <c r="A153" s="9" t="s">
        <v>163</v>
      </c>
      <c r="B153" s="10">
        <v>0</v>
      </c>
      <c r="C153" s="10">
        <v>18</v>
      </c>
      <c r="D153" s="11">
        <v>6.69</v>
      </c>
      <c r="E153" s="12">
        <v>0</v>
      </c>
      <c r="F153" s="12">
        <v>3</v>
      </c>
      <c r="G153" s="12">
        <v>18</v>
      </c>
      <c r="H153" s="13">
        <f t="shared" si="8"/>
        <v>1086.69</v>
      </c>
      <c r="I153" s="14">
        <f t="shared" si="9"/>
        <v>5.5E-2</v>
      </c>
      <c r="J153" s="10">
        <v>2</v>
      </c>
      <c r="K153" s="10">
        <v>3</v>
      </c>
      <c r="L153" s="10">
        <v>59.09</v>
      </c>
      <c r="M153" s="12">
        <v>10</v>
      </c>
      <c r="N153" s="12">
        <v>27</v>
      </c>
      <c r="O153" s="12">
        <v>19.3</v>
      </c>
      <c r="P153" s="13">
        <f t="shared" si="10"/>
        <v>7439.09</v>
      </c>
      <c r="Q153" s="14">
        <f t="shared" si="11"/>
        <v>10.45536111111111</v>
      </c>
    </row>
    <row r="154" spans="1:17" x14ac:dyDescent="0.25">
      <c r="A154" s="9" t="s">
        <v>164</v>
      </c>
      <c r="B154" s="10">
        <v>0</v>
      </c>
      <c r="C154" s="10">
        <v>20</v>
      </c>
      <c r="D154" s="11">
        <v>50.36</v>
      </c>
      <c r="E154" s="12">
        <v>0</v>
      </c>
      <c r="F154" s="12">
        <v>20</v>
      </c>
      <c r="G154" s="12">
        <v>39</v>
      </c>
      <c r="H154" s="13">
        <f t="shared" si="8"/>
        <v>1250.3599999999999</v>
      </c>
      <c r="I154" s="14">
        <f t="shared" si="9"/>
        <v>0.34416666666666662</v>
      </c>
      <c r="J154" s="10">
        <v>2</v>
      </c>
      <c r="K154" s="10">
        <v>8</v>
      </c>
      <c r="L154" s="10">
        <v>28.36</v>
      </c>
      <c r="M154" s="12">
        <v>10</v>
      </c>
      <c r="N154" s="12">
        <v>51</v>
      </c>
      <c r="O154" s="12">
        <v>16.3</v>
      </c>
      <c r="P154" s="13">
        <f t="shared" si="10"/>
        <v>7708.36</v>
      </c>
      <c r="Q154" s="14">
        <f t="shared" si="11"/>
        <v>10.854527777777777</v>
      </c>
    </row>
    <row r="155" spans="1:17" x14ac:dyDescent="0.25">
      <c r="A155" s="9" t="s">
        <v>165</v>
      </c>
      <c r="B155" s="10">
        <v>0</v>
      </c>
      <c r="C155" s="10">
        <v>23</v>
      </c>
      <c r="D155" s="11">
        <v>33.880000000000003</v>
      </c>
      <c r="E155" s="12">
        <v>0</v>
      </c>
      <c r="F155" s="12">
        <v>37</v>
      </c>
      <c r="G155" s="12">
        <v>58.2</v>
      </c>
      <c r="H155" s="13">
        <f t="shared" si="8"/>
        <v>1413.88</v>
      </c>
      <c r="I155" s="14">
        <f t="shared" si="9"/>
        <v>0.63283333333333336</v>
      </c>
      <c r="J155" s="10">
        <v>2</v>
      </c>
      <c r="K155" s="10">
        <v>12</v>
      </c>
      <c r="L155" s="10">
        <v>58.48</v>
      </c>
      <c r="M155" s="12">
        <v>11</v>
      </c>
      <c r="N155" s="12">
        <v>15</v>
      </c>
      <c r="O155" s="12">
        <v>1.6</v>
      </c>
      <c r="P155" s="13">
        <f t="shared" si="10"/>
        <v>7978.48</v>
      </c>
      <c r="Q155" s="14">
        <f t="shared" si="11"/>
        <v>11.250444444444444</v>
      </c>
    </row>
    <row r="156" spans="1:17" x14ac:dyDescent="0.25">
      <c r="A156" s="9" t="s">
        <v>166</v>
      </c>
      <c r="B156" s="10">
        <v>0</v>
      </c>
      <c r="C156" s="10">
        <v>26</v>
      </c>
      <c r="D156" s="11">
        <v>17.239999999999998</v>
      </c>
      <c r="E156" s="12">
        <v>0</v>
      </c>
      <c r="F156" s="12">
        <v>55</v>
      </c>
      <c r="G156" s="12">
        <v>15.6</v>
      </c>
      <c r="H156" s="13">
        <f t="shared" si="8"/>
        <v>1577.24</v>
      </c>
      <c r="I156" s="14">
        <f t="shared" si="9"/>
        <v>0.92099999999999993</v>
      </c>
      <c r="J156" s="10">
        <v>2</v>
      </c>
      <c r="K156" s="10">
        <v>17</v>
      </c>
      <c r="L156" s="10">
        <v>29.47</v>
      </c>
      <c r="M156" s="12">
        <v>11</v>
      </c>
      <c r="N156" s="12">
        <v>38</v>
      </c>
      <c r="O156" s="12">
        <v>34.6</v>
      </c>
      <c r="P156" s="13">
        <f t="shared" si="10"/>
        <v>8249.4699999999993</v>
      </c>
      <c r="Q156" s="14">
        <f t="shared" si="11"/>
        <v>11.642944444444444</v>
      </c>
    </row>
    <row r="157" spans="1:17" x14ac:dyDescent="0.25">
      <c r="A157" s="9" t="s">
        <v>167</v>
      </c>
      <c r="B157" s="10">
        <v>0</v>
      </c>
      <c r="C157" s="10">
        <v>29</v>
      </c>
      <c r="D157" s="11">
        <v>0.45</v>
      </c>
      <c r="E157" s="12">
        <v>1</v>
      </c>
      <c r="F157" s="12">
        <v>12</v>
      </c>
      <c r="G157" s="12">
        <v>30.8</v>
      </c>
      <c r="H157" s="13">
        <f t="shared" si="8"/>
        <v>1740.45</v>
      </c>
      <c r="I157" s="14">
        <f t="shared" si="9"/>
        <v>1.2085555555555556</v>
      </c>
      <c r="J157" s="10">
        <v>2</v>
      </c>
      <c r="K157" s="10">
        <v>22</v>
      </c>
      <c r="L157" s="10">
        <v>1.35</v>
      </c>
      <c r="M157" s="12">
        <v>12</v>
      </c>
      <c r="N157" s="12">
        <v>1</v>
      </c>
      <c r="O157" s="12">
        <v>54.6</v>
      </c>
      <c r="P157" s="13">
        <f t="shared" si="10"/>
        <v>8521.35</v>
      </c>
      <c r="Q157" s="14">
        <f t="shared" si="11"/>
        <v>12.031833333333335</v>
      </c>
    </row>
    <row r="158" spans="1:17" x14ac:dyDescent="0.25">
      <c r="A158" s="9" t="s">
        <v>168</v>
      </c>
      <c r="B158" s="10">
        <v>0</v>
      </c>
      <c r="C158" s="10">
        <v>31</v>
      </c>
      <c r="D158" s="11">
        <v>43.52</v>
      </c>
      <c r="E158" s="12">
        <v>1</v>
      </c>
      <c r="F158" s="12">
        <v>29</v>
      </c>
      <c r="G158" s="12">
        <v>43.7</v>
      </c>
      <c r="H158" s="13">
        <f t="shared" si="8"/>
        <v>1903.52</v>
      </c>
      <c r="I158" s="14">
        <f t="shared" si="9"/>
        <v>1.4954722222222223</v>
      </c>
      <c r="J158" s="10">
        <v>2</v>
      </c>
      <c r="K158" s="10">
        <v>26</v>
      </c>
      <c r="L158" s="10">
        <v>34.159999999999997</v>
      </c>
      <c r="M158" s="12">
        <v>12</v>
      </c>
      <c r="N158" s="12">
        <v>25</v>
      </c>
      <c r="O158" s="12">
        <v>0.9</v>
      </c>
      <c r="P158" s="13">
        <f t="shared" si="10"/>
        <v>8794.16</v>
      </c>
      <c r="Q158" s="14">
        <f t="shared" si="11"/>
        <v>12.416916666666665</v>
      </c>
    </row>
    <row r="159" spans="1:17" x14ac:dyDescent="0.25">
      <c r="A159" s="9" t="s">
        <v>169</v>
      </c>
      <c r="B159" s="10">
        <v>0</v>
      </c>
      <c r="C159" s="10">
        <v>34</v>
      </c>
      <c r="D159" s="11">
        <v>26.44</v>
      </c>
      <c r="E159" s="12">
        <v>1</v>
      </c>
      <c r="F159" s="12">
        <v>46</v>
      </c>
      <c r="G159" s="12">
        <v>54.3</v>
      </c>
      <c r="H159" s="13">
        <f t="shared" si="8"/>
        <v>2066.44</v>
      </c>
      <c r="I159" s="14">
        <f t="shared" si="9"/>
        <v>1.7817500000000002</v>
      </c>
      <c r="J159" s="10">
        <v>2</v>
      </c>
      <c r="K159" s="10">
        <v>31</v>
      </c>
      <c r="L159" s="10">
        <v>7.9</v>
      </c>
      <c r="M159" s="12">
        <v>12</v>
      </c>
      <c r="N159" s="12">
        <v>47</v>
      </c>
      <c r="O159" s="12">
        <v>52.8</v>
      </c>
      <c r="P159" s="13">
        <f t="shared" si="10"/>
        <v>9067.9</v>
      </c>
      <c r="Q159" s="14">
        <f t="shared" si="11"/>
        <v>12.798</v>
      </c>
    </row>
    <row r="160" spans="1:17" x14ac:dyDescent="0.25">
      <c r="A160" s="9" t="s">
        <v>170</v>
      </c>
      <c r="B160" s="10">
        <v>0</v>
      </c>
      <c r="C160" s="10">
        <v>37</v>
      </c>
      <c r="D160" s="11">
        <v>9.23</v>
      </c>
      <c r="E160" s="12">
        <v>2</v>
      </c>
      <c r="F160" s="12">
        <v>4</v>
      </c>
      <c r="G160" s="12">
        <v>2.2000000000000002</v>
      </c>
      <c r="H160" s="13">
        <f t="shared" si="8"/>
        <v>2229.23</v>
      </c>
      <c r="I160" s="14">
        <f t="shared" si="9"/>
        <v>2.067277777777778</v>
      </c>
      <c r="J160" s="10">
        <v>2</v>
      </c>
      <c r="K160" s="10">
        <v>35</v>
      </c>
      <c r="L160" s="10">
        <v>42.59</v>
      </c>
      <c r="M160" s="12">
        <v>13</v>
      </c>
      <c r="N160" s="12">
        <v>10</v>
      </c>
      <c r="O160" s="12">
        <v>29.7</v>
      </c>
      <c r="P160" s="13">
        <f t="shared" si="10"/>
        <v>9342.59</v>
      </c>
      <c r="Q160" s="14">
        <f t="shared" si="11"/>
        <v>13.174916666666666</v>
      </c>
    </row>
    <row r="161" spans="1:17" x14ac:dyDescent="0.25">
      <c r="A161" s="9" t="s">
        <v>171</v>
      </c>
      <c r="B161" s="10">
        <v>0</v>
      </c>
      <c r="C161" s="10">
        <v>39</v>
      </c>
      <c r="D161" s="11">
        <v>51.88</v>
      </c>
      <c r="E161" s="12">
        <v>2</v>
      </c>
      <c r="F161" s="12">
        <v>21</v>
      </c>
      <c r="G161" s="12">
        <v>7.5</v>
      </c>
      <c r="H161" s="13">
        <f t="shared" si="8"/>
        <v>2391.88</v>
      </c>
      <c r="I161" s="14">
        <f t="shared" si="9"/>
        <v>2.3520833333333333</v>
      </c>
      <c r="J161" s="10">
        <v>2</v>
      </c>
      <c r="K161" s="10">
        <v>40</v>
      </c>
      <c r="L161" s="10">
        <v>18.27</v>
      </c>
      <c r="M161" s="12">
        <v>13</v>
      </c>
      <c r="N161" s="12">
        <v>32</v>
      </c>
      <c r="O161" s="12">
        <v>50.8</v>
      </c>
      <c r="P161" s="13">
        <f t="shared" si="10"/>
        <v>9618.27</v>
      </c>
      <c r="Q161" s="14">
        <f t="shared" si="11"/>
        <v>13.547444444444444</v>
      </c>
    </row>
    <row r="162" spans="1:17" x14ac:dyDescent="0.25">
      <c r="A162" s="9" t="s">
        <v>172</v>
      </c>
      <c r="B162" s="10">
        <v>0</v>
      </c>
      <c r="C162" s="10">
        <v>42</v>
      </c>
      <c r="D162" s="11">
        <v>34.409999999999997</v>
      </c>
      <c r="E162" s="12">
        <v>2</v>
      </c>
      <c r="F162" s="12">
        <v>38</v>
      </c>
      <c r="G162" s="12">
        <v>9.8000000000000007</v>
      </c>
      <c r="H162" s="13">
        <f t="shared" si="8"/>
        <v>2554.41</v>
      </c>
      <c r="I162" s="14">
        <f t="shared" si="9"/>
        <v>2.6360555555555556</v>
      </c>
      <c r="J162" s="10">
        <v>2</v>
      </c>
      <c r="K162" s="10">
        <v>44</v>
      </c>
      <c r="L162" s="10">
        <v>54.94</v>
      </c>
      <c r="M162" s="12">
        <v>13</v>
      </c>
      <c r="N162" s="12">
        <v>54</v>
      </c>
      <c r="O162" s="12">
        <v>55.4</v>
      </c>
      <c r="P162" s="13">
        <f t="shared" si="10"/>
        <v>9894.94</v>
      </c>
      <c r="Q162" s="14">
        <f t="shared" si="11"/>
        <v>13.91538888888889</v>
      </c>
    </row>
    <row r="163" spans="1:17" x14ac:dyDescent="0.25">
      <c r="A163" s="9" t="s">
        <v>173</v>
      </c>
      <c r="B163" s="10">
        <v>0</v>
      </c>
      <c r="C163" s="10">
        <v>45</v>
      </c>
      <c r="D163" s="11">
        <v>16.809999999999999</v>
      </c>
      <c r="E163" s="12">
        <v>2</v>
      </c>
      <c r="F163" s="12">
        <v>55</v>
      </c>
      <c r="G163" s="12">
        <v>9.1</v>
      </c>
      <c r="H163" s="13">
        <f t="shared" si="8"/>
        <v>2716.81</v>
      </c>
      <c r="I163" s="14">
        <f t="shared" si="9"/>
        <v>2.9191944444444444</v>
      </c>
      <c r="J163" s="10">
        <v>2</v>
      </c>
      <c r="K163" s="10">
        <v>49</v>
      </c>
      <c r="L163" s="10">
        <v>32.619999999999997</v>
      </c>
      <c r="M163" s="12">
        <v>14</v>
      </c>
      <c r="N163" s="12">
        <v>16</v>
      </c>
      <c r="O163" s="12">
        <v>43</v>
      </c>
      <c r="P163" s="13">
        <f t="shared" si="10"/>
        <v>10172.620000000001</v>
      </c>
      <c r="Q163" s="14">
        <f t="shared" si="11"/>
        <v>14.278611111111111</v>
      </c>
    </row>
    <row r="164" spans="1:17" x14ac:dyDescent="0.25">
      <c r="A164" s="9" t="s">
        <v>174</v>
      </c>
      <c r="B164" s="10">
        <v>0</v>
      </c>
      <c r="C164" s="10">
        <v>47</v>
      </c>
      <c r="D164" s="11">
        <v>59.09</v>
      </c>
      <c r="E164" s="12">
        <v>3</v>
      </c>
      <c r="F164" s="12">
        <v>12</v>
      </c>
      <c r="G164" s="12">
        <v>5.3</v>
      </c>
      <c r="H164" s="13">
        <f t="shared" si="8"/>
        <v>2879.09</v>
      </c>
      <c r="I164" s="14">
        <f t="shared" si="9"/>
        <v>3.2014722222222223</v>
      </c>
      <c r="J164" s="10">
        <v>2</v>
      </c>
      <c r="K164" s="10">
        <v>54</v>
      </c>
      <c r="L164" s="10">
        <v>11.34</v>
      </c>
      <c r="M164" s="12">
        <v>14</v>
      </c>
      <c r="N164" s="12">
        <v>38</v>
      </c>
      <c r="O164" s="12">
        <v>12.7</v>
      </c>
      <c r="P164" s="13">
        <f t="shared" si="10"/>
        <v>10451.34</v>
      </c>
      <c r="Q164" s="14">
        <f t="shared" si="11"/>
        <v>14.636861111111111</v>
      </c>
    </row>
    <row r="165" spans="1:17" x14ac:dyDescent="0.25">
      <c r="A165" s="9" t="s">
        <v>175</v>
      </c>
      <c r="B165" s="10">
        <v>0</v>
      </c>
      <c r="C165" s="10">
        <v>50</v>
      </c>
      <c r="D165" s="11">
        <v>41.27</v>
      </c>
      <c r="E165" s="12">
        <v>3</v>
      </c>
      <c r="F165" s="12">
        <v>28</v>
      </c>
      <c r="G165" s="12">
        <v>58.1</v>
      </c>
      <c r="H165" s="13">
        <f t="shared" si="8"/>
        <v>3041.27</v>
      </c>
      <c r="I165" s="14">
        <f t="shared" si="9"/>
        <v>3.4828055555555557</v>
      </c>
      <c r="J165" s="10">
        <v>2</v>
      </c>
      <c r="K165" s="10">
        <v>58</v>
      </c>
      <c r="L165" s="10">
        <v>51.11</v>
      </c>
      <c r="M165" s="12">
        <v>14</v>
      </c>
      <c r="N165" s="12">
        <v>59</v>
      </c>
      <c r="O165" s="12">
        <v>24</v>
      </c>
      <c r="P165" s="13">
        <f t="shared" si="10"/>
        <v>10731.11</v>
      </c>
      <c r="Q165" s="14">
        <f t="shared" si="11"/>
        <v>14.989999999999998</v>
      </c>
    </row>
    <row r="166" spans="1:17" x14ac:dyDescent="0.25">
      <c r="A166" s="9" t="s">
        <v>176</v>
      </c>
      <c r="B166" s="10">
        <v>0</v>
      </c>
      <c r="C166" s="10">
        <v>53</v>
      </c>
      <c r="D166" s="11">
        <v>23.33</v>
      </c>
      <c r="E166" s="12">
        <v>3</v>
      </c>
      <c r="F166" s="12">
        <v>45</v>
      </c>
      <c r="G166" s="12">
        <v>47.5</v>
      </c>
      <c r="H166" s="13">
        <f t="shared" si="8"/>
        <v>3203.33</v>
      </c>
      <c r="I166" s="14">
        <f t="shared" si="9"/>
        <v>3.7631944444444443</v>
      </c>
      <c r="J166" s="10">
        <v>3</v>
      </c>
      <c r="K166" s="10">
        <v>3</v>
      </c>
      <c r="L166" s="10">
        <v>31.94</v>
      </c>
      <c r="M166" s="12">
        <v>15</v>
      </c>
      <c r="N166" s="12">
        <v>20</v>
      </c>
      <c r="O166" s="12">
        <v>16.100000000000001</v>
      </c>
      <c r="P166" s="13">
        <f t="shared" si="10"/>
        <v>11011.94</v>
      </c>
      <c r="Q166" s="14">
        <f t="shared" si="11"/>
        <v>15.337805555555557</v>
      </c>
    </row>
    <row r="167" spans="1:17" x14ac:dyDescent="0.25">
      <c r="A167" s="9" t="s">
        <v>177</v>
      </c>
      <c r="B167" s="10">
        <v>0</v>
      </c>
      <c r="C167" s="10">
        <v>56</v>
      </c>
      <c r="D167" s="11">
        <v>5.29</v>
      </c>
      <c r="E167" s="12">
        <v>4</v>
      </c>
      <c r="F167" s="12">
        <v>2</v>
      </c>
      <c r="G167" s="12">
        <v>33.4</v>
      </c>
      <c r="H167" s="13">
        <f t="shared" si="8"/>
        <v>3365.29</v>
      </c>
      <c r="I167" s="14">
        <f t="shared" si="9"/>
        <v>4.0426111111111114</v>
      </c>
      <c r="J167" s="10">
        <v>3</v>
      </c>
      <c r="K167" s="10">
        <v>8</v>
      </c>
      <c r="L167" s="10">
        <v>13.86</v>
      </c>
      <c r="M167" s="12">
        <v>15</v>
      </c>
      <c r="N167" s="12">
        <v>40</v>
      </c>
      <c r="O167" s="12">
        <v>48.4</v>
      </c>
      <c r="P167" s="13">
        <f t="shared" si="10"/>
        <v>11293.86</v>
      </c>
      <c r="Q167" s="14">
        <f t="shared" si="11"/>
        <v>15.68011111111111</v>
      </c>
    </row>
    <row r="168" spans="1:17" x14ac:dyDescent="0.25">
      <c r="A168" s="9" t="s">
        <v>178</v>
      </c>
      <c r="B168" s="10">
        <v>0</v>
      </c>
      <c r="C168" s="10">
        <v>58</v>
      </c>
      <c r="D168" s="11">
        <v>47.15</v>
      </c>
      <c r="E168" s="12">
        <v>4</v>
      </c>
      <c r="F168" s="12">
        <v>19</v>
      </c>
      <c r="G168" s="12">
        <v>15.5</v>
      </c>
      <c r="H168" s="13">
        <f t="shared" si="8"/>
        <v>3527.15</v>
      </c>
      <c r="I168" s="14">
        <f t="shared" si="9"/>
        <v>4.3209722222222222</v>
      </c>
      <c r="J168" s="10">
        <v>3</v>
      </c>
      <c r="K168" s="10">
        <v>12</v>
      </c>
      <c r="L168" s="10">
        <v>56.87</v>
      </c>
      <c r="M168" s="12">
        <v>16</v>
      </c>
      <c r="N168" s="12">
        <v>1</v>
      </c>
      <c r="O168" s="12">
        <v>0.2</v>
      </c>
      <c r="P168" s="13">
        <f t="shared" si="10"/>
        <v>11576.87</v>
      </c>
      <c r="Q168" s="14">
        <f t="shared" si="11"/>
        <v>16.016722222222221</v>
      </c>
    </row>
    <row r="169" spans="1:17" x14ac:dyDescent="0.25">
      <c r="A169" s="9" t="s">
        <v>179</v>
      </c>
      <c r="B169" s="10">
        <v>1</v>
      </c>
      <c r="C169" s="10">
        <v>1</v>
      </c>
      <c r="D169" s="11">
        <v>28.92</v>
      </c>
      <c r="E169" s="12">
        <v>4</v>
      </c>
      <c r="F169" s="12">
        <v>35</v>
      </c>
      <c r="G169" s="12">
        <v>53.8</v>
      </c>
      <c r="H169" s="13">
        <f t="shared" si="8"/>
        <v>3688.92</v>
      </c>
      <c r="I169" s="14">
        <f t="shared" si="9"/>
        <v>4.5982777777777777</v>
      </c>
      <c r="J169" s="10">
        <v>3</v>
      </c>
      <c r="K169" s="10">
        <v>17</v>
      </c>
      <c r="L169" s="10">
        <v>41</v>
      </c>
      <c r="M169" s="12">
        <v>16</v>
      </c>
      <c r="N169" s="12">
        <v>20</v>
      </c>
      <c r="O169" s="12">
        <v>50.9</v>
      </c>
      <c r="P169" s="13">
        <f t="shared" si="10"/>
        <v>11861</v>
      </c>
      <c r="Q169" s="14">
        <f t="shared" si="11"/>
        <v>16.347472222222223</v>
      </c>
    </row>
    <row r="170" spans="1:17" x14ac:dyDescent="0.25">
      <c r="A170" s="9" t="s">
        <v>180</v>
      </c>
      <c r="B170" s="10">
        <v>1</v>
      </c>
      <c r="C170" s="10">
        <v>4</v>
      </c>
      <c r="D170" s="11">
        <v>10.6</v>
      </c>
      <c r="E170" s="12">
        <v>4</v>
      </c>
      <c r="F170" s="12">
        <v>52</v>
      </c>
      <c r="G170" s="12">
        <v>28.1</v>
      </c>
      <c r="H170" s="13">
        <f t="shared" si="8"/>
        <v>3850.6</v>
      </c>
      <c r="I170" s="14">
        <f t="shared" si="9"/>
        <v>4.8744722222222219</v>
      </c>
      <c r="J170" s="10">
        <v>3</v>
      </c>
      <c r="K170" s="10">
        <v>22</v>
      </c>
      <c r="L170" s="10">
        <v>26.25</v>
      </c>
      <c r="M170" s="12">
        <v>16</v>
      </c>
      <c r="N170" s="12">
        <v>40</v>
      </c>
      <c r="O170" s="12">
        <v>19.7</v>
      </c>
      <c r="P170" s="13">
        <f t="shared" si="10"/>
        <v>12146.25</v>
      </c>
      <c r="Q170" s="14">
        <f t="shared" si="11"/>
        <v>16.672138888888892</v>
      </c>
    </row>
    <row r="171" spans="1:17" x14ac:dyDescent="0.25">
      <c r="A171" s="9" t="s">
        <v>181</v>
      </c>
      <c r="B171" s="10">
        <v>1</v>
      </c>
      <c r="C171" s="10">
        <v>6</v>
      </c>
      <c r="D171" s="11">
        <v>52.18</v>
      </c>
      <c r="E171" s="12">
        <v>5</v>
      </c>
      <c r="F171" s="12">
        <v>8</v>
      </c>
      <c r="G171" s="12">
        <v>58.2</v>
      </c>
      <c r="H171" s="13">
        <f t="shared" si="8"/>
        <v>4012.18</v>
      </c>
      <c r="I171" s="14">
        <f t="shared" si="9"/>
        <v>5.1494999999999997</v>
      </c>
      <c r="J171" s="10">
        <v>3</v>
      </c>
      <c r="K171" s="10">
        <v>27</v>
      </c>
      <c r="L171" s="10">
        <v>12.62</v>
      </c>
      <c r="M171" s="12">
        <v>16</v>
      </c>
      <c r="N171" s="12">
        <v>59</v>
      </c>
      <c r="O171" s="12">
        <v>26</v>
      </c>
      <c r="P171" s="13">
        <f t="shared" si="10"/>
        <v>12432.62</v>
      </c>
      <c r="Q171" s="14">
        <f t="shared" si="11"/>
        <v>16.990555555555556</v>
      </c>
    </row>
    <row r="172" spans="1:17" x14ac:dyDescent="0.25">
      <c r="A172" s="9" t="s">
        <v>182</v>
      </c>
      <c r="B172" s="10">
        <v>1</v>
      </c>
      <c r="C172" s="10">
        <v>9</v>
      </c>
      <c r="D172" s="11">
        <v>33.659999999999997</v>
      </c>
      <c r="E172" s="12">
        <v>5</v>
      </c>
      <c r="F172" s="12">
        <v>25</v>
      </c>
      <c r="G172" s="12">
        <v>23.9</v>
      </c>
      <c r="H172" s="13">
        <f t="shared" si="8"/>
        <v>4173.66</v>
      </c>
      <c r="I172" s="14">
        <f t="shared" si="9"/>
        <v>5.4233055555555554</v>
      </c>
      <c r="J172" s="10">
        <v>3</v>
      </c>
      <c r="K172" s="10">
        <v>32</v>
      </c>
      <c r="L172" s="10">
        <v>0.14000000000000001</v>
      </c>
      <c r="M172" s="12">
        <v>17</v>
      </c>
      <c r="N172" s="12">
        <v>18</v>
      </c>
      <c r="O172" s="12">
        <v>9.1</v>
      </c>
      <c r="P172" s="13">
        <f t="shared" si="10"/>
        <v>12720.14</v>
      </c>
      <c r="Q172" s="14">
        <f t="shared" si="11"/>
        <v>17.30252777777778</v>
      </c>
    </row>
    <row r="173" spans="1:17" x14ac:dyDescent="0.25">
      <c r="A173" s="9" t="s">
        <v>183</v>
      </c>
      <c r="B173" s="10">
        <v>1</v>
      </c>
      <c r="C173" s="10">
        <v>12</v>
      </c>
      <c r="D173" s="11">
        <v>15.06</v>
      </c>
      <c r="E173" s="12">
        <v>5</v>
      </c>
      <c r="F173" s="12">
        <v>41</v>
      </c>
      <c r="G173" s="12">
        <v>45.2</v>
      </c>
      <c r="H173" s="13">
        <f t="shared" si="8"/>
        <v>4335.0600000000004</v>
      </c>
      <c r="I173" s="14">
        <f t="shared" si="9"/>
        <v>5.6958888888888888</v>
      </c>
      <c r="J173" s="10">
        <v>3</v>
      </c>
      <c r="K173" s="10">
        <v>36</v>
      </c>
      <c r="L173" s="10">
        <v>48.79</v>
      </c>
      <c r="M173" s="12">
        <v>17</v>
      </c>
      <c r="N173" s="12">
        <v>36</v>
      </c>
      <c r="O173" s="12">
        <v>28.2</v>
      </c>
      <c r="P173" s="13">
        <f t="shared" si="10"/>
        <v>13008.79</v>
      </c>
      <c r="Q173" s="14">
        <f t="shared" si="11"/>
        <v>17.607833333333335</v>
      </c>
    </row>
    <row r="174" spans="1:17" x14ac:dyDescent="0.25">
      <c r="A174" s="9" t="s">
        <v>184</v>
      </c>
      <c r="B174" s="10">
        <v>1</v>
      </c>
      <c r="C174" s="10">
        <v>14</v>
      </c>
      <c r="D174" s="11">
        <v>56.35</v>
      </c>
      <c r="E174" s="12">
        <v>5</v>
      </c>
      <c r="F174" s="12">
        <v>58</v>
      </c>
      <c r="G174" s="12">
        <v>1.8</v>
      </c>
      <c r="H174" s="13">
        <f t="shared" si="8"/>
        <v>4496.3500000000004</v>
      </c>
      <c r="I174" s="14">
        <f t="shared" si="9"/>
        <v>5.9671666666666665</v>
      </c>
      <c r="J174" s="10">
        <v>3</v>
      </c>
      <c r="K174" s="10">
        <v>41</v>
      </c>
      <c r="L174" s="10">
        <v>38.57</v>
      </c>
      <c r="M174" s="12">
        <v>17</v>
      </c>
      <c r="N174" s="12">
        <v>54</v>
      </c>
      <c r="O174" s="12">
        <v>22.8</v>
      </c>
      <c r="P174" s="13">
        <f t="shared" si="10"/>
        <v>13298.57</v>
      </c>
      <c r="Q174" s="14">
        <f t="shared" si="11"/>
        <v>17.906333333333333</v>
      </c>
    </row>
    <row r="175" spans="1:17" x14ac:dyDescent="0.25">
      <c r="A175" s="9" t="s">
        <v>185</v>
      </c>
      <c r="B175" s="10">
        <v>1</v>
      </c>
      <c r="C175" s="10">
        <v>17</v>
      </c>
      <c r="D175" s="11">
        <v>37.549999999999997</v>
      </c>
      <c r="E175" s="12">
        <v>6</v>
      </c>
      <c r="F175" s="12">
        <v>14</v>
      </c>
      <c r="G175" s="12">
        <v>13.6</v>
      </c>
      <c r="H175" s="13">
        <f t="shared" si="8"/>
        <v>4657.55</v>
      </c>
      <c r="I175" s="14">
        <f t="shared" si="9"/>
        <v>6.2371111111111111</v>
      </c>
      <c r="J175" s="10">
        <v>3</v>
      </c>
      <c r="K175" s="10">
        <v>46</v>
      </c>
      <c r="L175" s="10">
        <v>29.5</v>
      </c>
      <c r="M175" s="12">
        <v>18</v>
      </c>
      <c r="N175" s="12">
        <v>11</v>
      </c>
      <c r="O175" s="12">
        <v>52.2</v>
      </c>
      <c r="P175" s="13">
        <f t="shared" si="10"/>
        <v>13589.5</v>
      </c>
      <c r="Q175" s="14">
        <f t="shared" si="11"/>
        <v>18.197833333333335</v>
      </c>
    </row>
    <row r="176" spans="1:17" x14ac:dyDescent="0.25">
      <c r="A176" s="9" t="s">
        <v>186</v>
      </c>
      <c r="B176" s="10">
        <v>1</v>
      </c>
      <c r="C176" s="10">
        <v>20</v>
      </c>
      <c r="D176" s="11">
        <v>18.64</v>
      </c>
      <c r="E176" s="12">
        <v>6</v>
      </c>
      <c r="F176" s="12">
        <v>30</v>
      </c>
      <c r="G176" s="12">
        <v>20.399999999999999</v>
      </c>
      <c r="H176" s="13">
        <f t="shared" si="8"/>
        <v>4818.6400000000003</v>
      </c>
      <c r="I176" s="14">
        <f t="shared" si="9"/>
        <v>6.5056666666666665</v>
      </c>
      <c r="J176" s="10">
        <v>3</v>
      </c>
      <c r="K176" s="10">
        <v>51</v>
      </c>
      <c r="L176" s="10">
        <v>21.56</v>
      </c>
      <c r="M176" s="12">
        <v>18</v>
      </c>
      <c r="N176" s="12">
        <v>28</v>
      </c>
      <c r="O176" s="12">
        <v>55.6</v>
      </c>
      <c r="P176" s="13">
        <f t="shared" si="10"/>
        <v>13881.56</v>
      </c>
      <c r="Q176" s="14">
        <f t="shared" si="11"/>
        <v>18.482111111111109</v>
      </c>
    </row>
    <row r="177" spans="1:17" x14ac:dyDescent="0.25">
      <c r="A177" s="9" t="s">
        <v>187</v>
      </c>
      <c r="B177" s="10">
        <v>1</v>
      </c>
      <c r="C177" s="10">
        <v>22</v>
      </c>
      <c r="D177" s="11">
        <v>59.63</v>
      </c>
      <c r="E177" s="12">
        <v>6</v>
      </c>
      <c r="F177" s="12">
        <v>46</v>
      </c>
      <c r="G177" s="12">
        <v>22</v>
      </c>
      <c r="H177" s="13">
        <f t="shared" si="8"/>
        <v>4979.63</v>
      </c>
      <c r="I177" s="14">
        <f t="shared" si="9"/>
        <v>6.7727777777777778</v>
      </c>
      <c r="J177" s="10">
        <v>3</v>
      </c>
      <c r="K177" s="10">
        <v>56</v>
      </c>
      <c r="L177" s="10">
        <v>14.74</v>
      </c>
      <c r="M177" s="12">
        <v>18</v>
      </c>
      <c r="N177" s="12">
        <v>45</v>
      </c>
      <c r="O177" s="12">
        <v>32.4</v>
      </c>
      <c r="P177" s="13">
        <f t="shared" si="10"/>
        <v>14174.74</v>
      </c>
      <c r="Q177" s="14">
        <f t="shared" si="11"/>
        <v>18.759</v>
      </c>
    </row>
    <row r="178" spans="1:17" x14ac:dyDescent="0.25">
      <c r="A178" s="9" t="s">
        <v>188</v>
      </c>
      <c r="B178" s="10">
        <v>1</v>
      </c>
      <c r="C178" s="10">
        <v>25</v>
      </c>
      <c r="D178" s="11">
        <v>40.51</v>
      </c>
      <c r="E178" s="12">
        <v>7</v>
      </c>
      <c r="F178" s="12">
        <v>2</v>
      </c>
      <c r="G178" s="12">
        <v>18.3</v>
      </c>
      <c r="H178" s="13">
        <f t="shared" si="8"/>
        <v>5140.51</v>
      </c>
      <c r="I178" s="14">
        <f t="shared" si="9"/>
        <v>7.0384166666666665</v>
      </c>
      <c r="J178" s="10">
        <v>4</v>
      </c>
      <c r="K178" s="10">
        <v>1</v>
      </c>
      <c r="L178" s="10">
        <v>9.0399999999999991</v>
      </c>
      <c r="M178" s="12">
        <v>19</v>
      </c>
      <c r="N178" s="12">
        <v>1</v>
      </c>
      <c r="O178" s="12">
        <v>41.9</v>
      </c>
      <c r="P178" s="13">
        <f t="shared" si="10"/>
        <v>14469.04</v>
      </c>
      <c r="Q178" s="14">
        <f t="shared" si="11"/>
        <v>19.028305555555555</v>
      </c>
    </row>
    <row r="179" spans="1:17" x14ac:dyDescent="0.25">
      <c r="A179" s="9" t="s">
        <v>189</v>
      </c>
      <c r="B179" s="10">
        <v>1</v>
      </c>
      <c r="C179" s="10">
        <v>28</v>
      </c>
      <c r="D179" s="11">
        <v>21.28</v>
      </c>
      <c r="E179" s="12">
        <v>7</v>
      </c>
      <c r="F179" s="12">
        <v>18</v>
      </c>
      <c r="G179" s="12">
        <v>9.1</v>
      </c>
      <c r="H179" s="13">
        <f t="shared" si="8"/>
        <v>5301.28</v>
      </c>
      <c r="I179" s="14">
        <f t="shared" si="9"/>
        <v>7.3025277777777777</v>
      </c>
      <c r="J179" s="10">
        <v>4</v>
      </c>
      <c r="K179" s="10">
        <v>6</v>
      </c>
      <c r="L179" s="10">
        <v>4.4400000000000004</v>
      </c>
      <c r="M179" s="12">
        <v>19</v>
      </c>
      <c r="N179" s="12">
        <v>17</v>
      </c>
      <c r="O179" s="12">
        <v>23.4</v>
      </c>
      <c r="P179" s="13">
        <f t="shared" si="10"/>
        <v>14764.44</v>
      </c>
      <c r="Q179" s="14">
        <f t="shared" si="11"/>
        <v>19.289833333333334</v>
      </c>
    </row>
    <row r="180" spans="1:17" x14ac:dyDescent="0.25">
      <c r="A180" s="9" t="s">
        <v>190</v>
      </c>
      <c r="B180" s="10">
        <v>1</v>
      </c>
      <c r="C180" s="10">
        <v>31</v>
      </c>
      <c r="D180" s="11">
        <v>1.94</v>
      </c>
      <c r="E180" s="12">
        <v>7</v>
      </c>
      <c r="F180" s="12">
        <v>33</v>
      </c>
      <c r="G180" s="12">
        <v>54.2</v>
      </c>
      <c r="H180" s="13">
        <f t="shared" si="8"/>
        <v>5461.94</v>
      </c>
      <c r="I180" s="14">
        <f t="shared" si="9"/>
        <v>7.5650555555555554</v>
      </c>
      <c r="J180" s="10">
        <v>4</v>
      </c>
      <c r="K180" s="10">
        <v>11</v>
      </c>
      <c r="L180" s="10">
        <v>0.95</v>
      </c>
      <c r="M180" s="12">
        <v>19</v>
      </c>
      <c r="N180" s="12">
        <v>32</v>
      </c>
      <c r="O180" s="12">
        <v>36.4</v>
      </c>
      <c r="P180" s="13">
        <f t="shared" si="10"/>
        <v>15060.95</v>
      </c>
      <c r="Q180" s="14">
        <f t="shared" si="11"/>
        <v>19.543444444444447</v>
      </c>
    </row>
    <row r="181" spans="1:17" x14ac:dyDescent="0.25">
      <c r="A181" s="9" t="s">
        <v>191</v>
      </c>
      <c r="B181" s="10">
        <v>1</v>
      </c>
      <c r="C181" s="10">
        <v>33</v>
      </c>
      <c r="D181" s="11">
        <v>42.48</v>
      </c>
      <c r="E181" s="12">
        <v>7</v>
      </c>
      <c r="F181" s="12">
        <v>49</v>
      </c>
      <c r="G181" s="12">
        <v>33.5</v>
      </c>
      <c r="H181" s="13">
        <f t="shared" si="8"/>
        <v>5622.48</v>
      </c>
      <c r="I181" s="14">
        <f t="shared" si="9"/>
        <v>7.8259722222222221</v>
      </c>
      <c r="J181" s="10">
        <v>4</v>
      </c>
      <c r="K181" s="10">
        <v>15</v>
      </c>
      <c r="L181" s="10">
        <v>58.53</v>
      </c>
      <c r="M181" s="12">
        <v>19</v>
      </c>
      <c r="N181" s="12">
        <v>47</v>
      </c>
      <c r="O181" s="12">
        <v>20.2</v>
      </c>
      <c r="P181" s="13">
        <f t="shared" si="10"/>
        <v>15358.53</v>
      </c>
      <c r="Q181" s="14">
        <f t="shared" si="11"/>
        <v>19.788944444444446</v>
      </c>
    </row>
    <row r="182" spans="1:17" x14ac:dyDescent="0.25">
      <c r="A182" s="9" t="s">
        <v>192</v>
      </c>
      <c r="B182" s="10">
        <v>1</v>
      </c>
      <c r="C182" s="10">
        <v>36</v>
      </c>
      <c r="D182" s="11">
        <v>22.9</v>
      </c>
      <c r="E182" s="12">
        <v>8</v>
      </c>
      <c r="F182" s="12">
        <v>5</v>
      </c>
      <c r="G182" s="12">
        <v>6.8</v>
      </c>
      <c r="H182" s="13">
        <f t="shared" si="8"/>
        <v>5782.9</v>
      </c>
      <c r="I182" s="14">
        <f t="shared" si="9"/>
        <v>8.0852222222222228</v>
      </c>
      <c r="J182" s="10">
        <v>4</v>
      </c>
      <c r="K182" s="10">
        <v>20</v>
      </c>
      <c r="L182" s="10">
        <v>57.18</v>
      </c>
      <c r="M182" s="12">
        <v>20</v>
      </c>
      <c r="N182" s="12">
        <v>1</v>
      </c>
      <c r="O182" s="12">
        <v>34.200000000000003</v>
      </c>
      <c r="P182" s="13">
        <f t="shared" si="10"/>
        <v>15657.18</v>
      </c>
      <c r="Q182" s="14">
        <f t="shared" si="11"/>
        <v>20.026166666666665</v>
      </c>
    </row>
    <row r="183" spans="1:17" x14ac:dyDescent="0.25">
      <c r="A183" s="9" t="s">
        <v>193</v>
      </c>
      <c r="B183" s="10">
        <v>1</v>
      </c>
      <c r="C183" s="10">
        <v>39</v>
      </c>
      <c r="D183" s="11">
        <v>3.2</v>
      </c>
      <c r="E183" s="12">
        <v>8</v>
      </c>
      <c r="F183" s="12">
        <v>20</v>
      </c>
      <c r="G183" s="12">
        <v>34.1</v>
      </c>
      <c r="H183" s="13">
        <f t="shared" si="8"/>
        <v>5943.2</v>
      </c>
      <c r="I183" s="14">
        <f t="shared" si="9"/>
        <v>8.3428055555555556</v>
      </c>
      <c r="J183" s="10">
        <v>4</v>
      </c>
      <c r="K183" s="10">
        <v>25</v>
      </c>
      <c r="L183" s="10">
        <v>56.88</v>
      </c>
      <c r="M183" s="12">
        <v>20</v>
      </c>
      <c r="N183" s="12">
        <v>15</v>
      </c>
      <c r="O183" s="12">
        <v>17.7</v>
      </c>
      <c r="P183" s="13">
        <f t="shared" si="10"/>
        <v>15956.88</v>
      </c>
      <c r="Q183" s="14">
        <f t="shared" si="11"/>
        <v>20.254916666666666</v>
      </c>
    </row>
    <row r="184" spans="1:17" x14ac:dyDescent="0.25">
      <c r="A184" s="9" t="s">
        <v>194</v>
      </c>
      <c r="B184" s="10">
        <v>1</v>
      </c>
      <c r="C184" s="10">
        <v>41</v>
      </c>
      <c r="D184" s="11">
        <v>43.37</v>
      </c>
      <c r="E184" s="12">
        <v>8</v>
      </c>
      <c r="F184" s="12">
        <v>35</v>
      </c>
      <c r="G184" s="12">
        <v>55.1</v>
      </c>
      <c r="H184" s="13">
        <f t="shared" si="8"/>
        <v>6103.37</v>
      </c>
      <c r="I184" s="14">
        <f t="shared" si="9"/>
        <v>8.5986388888888889</v>
      </c>
      <c r="J184" s="10">
        <v>4</v>
      </c>
      <c r="K184" s="10">
        <v>30</v>
      </c>
      <c r="L184" s="10">
        <v>57.6</v>
      </c>
      <c r="M184" s="12">
        <v>20</v>
      </c>
      <c r="N184" s="12">
        <v>28</v>
      </c>
      <c r="O184" s="12">
        <v>30.3</v>
      </c>
      <c r="P184" s="13">
        <f t="shared" si="10"/>
        <v>16257.6</v>
      </c>
      <c r="Q184" s="14">
        <f t="shared" si="11"/>
        <v>20.47508333333333</v>
      </c>
    </row>
    <row r="185" spans="1:17" x14ac:dyDescent="0.25">
      <c r="A185" s="9" t="s">
        <v>195</v>
      </c>
      <c r="B185" s="10">
        <v>1</v>
      </c>
      <c r="C185" s="10">
        <v>44</v>
      </c>
      <c r="D185" s="11">
        <v>23.41</v>
      </c>
      <c r="E185" s="12">
        <v>8</v>
      </c>
      <c r="F185" s="12">
        <v>51</v>
      </c>
      <c r="G185" s="12">
        <v>9.8000000000000007</v>
      </c>
      <c r="H185" s="13">
        <f t="shared" si="8"/>
        <v>6263.41</v>
      </c>
      <c r="I185" s="14">
        <f t="shared" si="9"/>
        <v>8.8527222222222228</v>
      </c>
      <c r="J185" s="10">
        <v>4</v>
      </c>
      <c r="K185" s="10">
        <v>35</v>
      </c>
      <c r="L185" s="10">
        <v>59.33</v>
      </c>
      <c r="M185" s="12">
        <v>20</v>
      </c>
      <c r="N185" s="12">
        <v>41</v>
      </c>
      <c r="O185" s="12">
        <v>11.2</v>
      </c>
      <c r="P185" s="13">
        <f t="shared" si="10"/>
        <v>16559.330000000002</v>
      </c>
      <c r="Q185" s="14">
        <f t="shared" si="11"/>
        <v>20.686444444444444</v>
      </c>
    </row>
    <row r="186" spans="1:17" x14ac:dyDescent="0.25">
      <c r="A186" s="9" t="s">
        <v>196</v>
      </c>
      <c r="B186" s="10">
        <v>1</v>
      </c>
      <c r="C186" s="10">
        <v>47</v>
      </c>
      <c r="D186" s="11">
        <v>3.33</v>
      </c>
      <c r="E186" s="12">
        <v>9</v>
      </c>
      <c r="F186" s="12">
        <v>6</v>
      </c>
      <c r="G186" s="12">
        <v>17.899999999999999</v>
      </c>
      <c r="H186" s="13">
        <f t="shared" si="8"/>
        <v>6423.33</v>
      </c>
      <c r="I186" s="14">
        <f t="shared" si="9"/>
        <v>9.1049722222222229</v>
      </c>
      <c r="J186" s="10">
        <v>4</v>
      </c>
      <c r="K186" s="10">
        <v>41</v>
      </c>
      <c r="L186" s="10">
        <v>2.04</v>
      </c>
      <c r="M186" s="12">
        <v>20</v>
      </c>
      <c r="N186" s="12">
        <v>53</v>
      </c>
      <c r="O186" s="12">
        <v>19.899999999999999</v>
      </c>
      <c r="P186" s="13">
        <f t="shared" si="10"/>
        <v>16862.04</v>
      </c>
      <c r="Q186" s="14">
        <f t="shared" si="11"/>
        <v>20.888861111111112</v>
      </c>
    </row>
    <row r="187" spans="1:17" x14ac:dyDescent="0.25">
      <c r="A187" s="9" t="s">
        <v>197</v>
      </c>
      <c r="B187" s="10">
        <v>1</v>
      </c>
      <c r="C187" s="10">
        <v>49</v>
      </c>
      <c r="D187" s="11">
        <v>43.11</v>
      </c>
      <c r="E187" s="12">
        <v>9</v>
      </c>
      <c r="F187" s="12">
        <v>21</v>
      </c>
      <c r="G187" s="12">
        <v>19.399999999999999</v>
      </c>
      <c r="H187" s="13">
        <f t="shared" si="8"/>
        <v>6583.11</v>
      </c>
      <c r="I187" s="14">
        <f t="shared" si="9"/>
        <v>9.3553888888888892</v>
      </c>
      <c r="J187" s="10">
        <v>4</v>
      </c>
      <c r="K187" s="10">
        <v>46</v>
      </c>
      <c r="L187" s="10">
        <v>5.71</v>
      </c>
      <c r="M187" s="12">
        <v>21</v>
      </c>
      <c r="N187" s="12">
        <v>4</v>
      </c>
      <c r="O187" s="12">
        <v>55.9</v>
      </c>
      <c r="P187" s="13">
        <f t="shared" si="10"/>
        <v>17165.71</v>
      </c>
      <c r="Q187" s="14">
        <f t="shared" si="11"/>
        <v>21.082194444444443</v>
      </c>
    </row>
    <row r="188" spans="1:17" x14ac:dyDescent="0.25">
      <c r="A188" s="9" t="s">
        <v>198</v>
      </c>
      <c r="B188" s="10">
        <v>1</v>
      </c>
      <c r="C188" s="10">
        <v>52</v>
      </c>
      <c r="D188" s="11">
        <v>22.76</v>
      </c>
      <c r="E188" s="12">
        <v>9</v>
      </c>
      <c r="F188" s="12">
        <v>36</v>
      </c>
      <c r="G188" s="12">
        <v>14.2</v>
      </c>
      <c r="H188" s="13">
        <f t="shared" si="8"/>
        <v>6742.76</v>
      </c>
      <c r="I188" s="14">
        <f t="shared" si="9"/>
        <v>9.6039444444444442</v>
      </c>
      <c r="J188" s="10">
        <v>4</v>
      </c>
      <c r="K188" s="10">
        <v>51</v>
      </c>
      <c r="L188" s="10">
        <v>10.31</v>
      </c>
      <c r="M188" s="12">
        <v>21</v>
      </c>
      <c r="N188" s="12">
        <v>15</v>
      </c>
      <c r="O188" s="12">
        <v>58.7</v>
      </c>
      <c r="P188" s="13">
        <f t="shared" si="10"/>
        <v>17470.310000000001</v>
      </c>
      <c r="Q188" s="14">
        <f t="shared" si="11"/>
        <v>21.266305555555554</v>
      </c>
    </row>
    <row r="189" spans="1:17" x14ac:dyDescent="0.25">
      <c r="A189" s="9" t="s">
        <v>199</v>
      </c>
      <c r="B189" s="10">
        <v>1</v>
      </c>
      <c r="C189" s="10">
        <v>55</v>
      </c>
      <c r="D189" s="11">
        <v>2.27</v>
      </c>
      <c r="E189" s="12">
        <v>9</v>
      </c>
      <c r="F189" s="12">
        <v>51</v>
      </c>
      <c r="G189" s="12">
        <v>2.1</v>
      </c>
      <c r="H189" s="13">
        <f t="shared" si="8"/>
        <v>6902.27</v>
      </c>
      <c r="I189" s="14">
        <f t="shared" si="9"/>
        <v>9.8505833333333328</v>
      </c>
      <c r="J189" s="10">
        <v>4</v>
      </c>
      <c r="K189" s="10">
        <v>56</v>
      </c>
      <c r="L189" s="10">
        <v>15.82</v>
      </c>
      <c r="M189" s="12">
        <v>21</v>
      </c>
      <c r="N189" s="12">
        <v>26</v>
      </c>
      <c r="O189" s="12">
        <v>27.8</v>
      </c>
      <c r="P189" s="13">
        <f t="shared" si="10"/>
        <v>17775.82</v>
      </c>
      <c r="Q189" s="14">
        <f t="shared" si="11"/>
        <v>21.441055555555558</v>
      </c>
    </row>
    <row r="190" spans="1:17" x14ac:dyDescent="0.25">
      <c r="A190" s="9" t="s">
        <v>200</v>
      </c>
      <c r="B190" s="10">
        <v>1</v>
      </c>
      <c r="C190" s="10">
        <v>57</v>
      </c>
      <c r="D190" s="11">
        <v>41.64</v>
      </c>
      <c r="E190" s="12">
        <v>10</v>
      </c>
      <c r="F190" s="12">
        <v>5</v>
      </c>
      <c r="G190" s="12">
        <v>43.1</v>
      </c>
      <c r="H190" s="13">
        <f t="shared" si="8"/>
        <v>7061.64</v>
      </c>
      <c r="I190" s="14">
        <f t="shared" si="9"/>
        <v>10.095305555555555</v>
      </c>
      <c r="J190" s="10">
        <v>5</v>
      </c>
      <c r="K190" s="10">
        <v>1</v>
      </c>
      <c r="L190" s="10">
        <v>22.19</v>
      </c>
      <c r="M190" s="12">
        <v>21</v>
      </c>
      <c r="N190" s="12">
        <v>36</v>
      </c>
      <c r="O190" s="12">
        <v>22.5</v>
      </c>
      <c r="P190" s="13">
        <f t="shared" si="10"/>
        <v>18082.189999999999</v>
      </c>
      <c r="Q190" s="14">
        <f t="shared" si="11"/>
        <v>21.606250000000003</v>
      </c>
    </row>
    <row r="191" spans="1:17" x14ac:dyDescent="0.25">
      <c r="A191" s="9" t="s">
        <v>201</v>
      </c>
      <c r="B191" s="10">
        <v>2</v>
      </c>
      <c r="C191" s="10">
        <v>0</v>
      </c>
      <c r="D191" s="11">
        <v>20.88</v>
      </c>
      <c r="E191" s="12">
        <v>10</v>
      </c>
      <c r="F191" s="12">
        <v>20</v>
      </c>
      <c r="G191" s="12">
        <v>17</v>
      </c>
      <c r="H191" s="13">
        <f t="shared" si="8"/>
        <v>7220.88</v>
      </c>
      <c r="I191" s="14">
        <f t="shared" si="9"/>
        <v>10.338055555555556</v>
      </c>
      <c r="J191" s="10">
        <v>5</v>
      </c>
      <c r="K191" s="10">
        <v>6</v>
      </c>
      <c r="L191" s="10">
        <v>29.41</v>
      </c>
      <c r="M191" s="12">
        <v>21</v>
      </c>
      <c r="N191" s="12">
        <v>45</v>
      </c>
      <c r="O191" s="12">
        <v>42.6</v>
      </c>
      <c r="P191" s="13">
        <f t="shared" si="10"/>
        <v>18389.41</v>
      </c>
      <c r="Q191" s="14">
        <f t="shared" si="11"/>
        <v>21.761833333333332</v>
      </c>
    </row>
    <row r="192" spans="1:17" x14ac:dyDescent="0.25">
      <c r="A192" s="9" t="s">
        <v>202</v>
      </c>
      <c r="B192" s="10">
        <v>2</v>
      </c>
      <c r="C192" s="10">
        <v>2</v>
      </c>
      <c r="D192" s="11">
        <v>59.97</v>
      </c>
      <c r="E192" s="12">
        <v>10</v>
      </c>
      <c r="F192" s="12">
        <v>34</v>
      </c>
      <c r="G192" s="12">
        <v>43.8</v>
      </c>
      <c r="H192" s="13">
        <f t="shared" si="8"/>
        <v>7379.97</v>
      </c>
      <c r="I192" s="14">
        <f t="shared" si="9"/>
        <v>10.578833333333334</v>
      </c>
      <c r="J192" s="10">
        <v>5</v>
      </c>
      <c r="K192" s="10">
        <v>11</v>
      </c>
      <c r="L192" s="10">
        <v>37.44</v>
      </c>
      <c r="M192" s="12">
        <v>21</v>
      </c>
      <c r="N192" s="12">
        <v>54</v>
      </c>
      <c r="O192" s="12">
        <v>27.5</v>
      </c>
      <c r="P192" s="13">
        <f t="shared" si="10"/>
        <v>18697.439999999999</v>
      </c>
      <c r="Q192" s="14">
        <f t="shared" si="11"/>
        <v>21.907638888888886</v>
      </c>
    </row>
    <row r="193" spans="1:17" x14ac:dyDescent="0.25">
      <c r="A193" s="9" t="s">
        <v>203</v>
      </c>
      <c r="B193" s="10">
        <v>2</v>
      </c>
      <c r="C193" s="10">
        <v>5</v>
      </c>
      <c r="D193" s="11">
        <v>38.92</v>
      </c>
      <c r="E193" s="12">
        <v>10</v>
      </c>
      <c r="F193" s="12">
        <v>49</v>
      </c>
      <c r="G193" s="12">
        <v>3.3</v>
      </c>
      <c r="H193" s="13">
        <f t="shared" si="8"/>
        <v>7538.92</v>
      </c>
      <c r="I193" s="14">
        <f t="shared" si="9"/>
        <v>10.817583333333333</v>
      </c>
      <c r="J193" s="10">
        <v>5</v>
      </c>
      <c r="K193" s="10">
        <v>16</v>
      </c>
      <c r="L193" s="10">
        <v>46.24</v>
      </c>
      <c r="M193" s="12">
        <v>22</v>
      </c>
      <c r="N193" s="12">
        <v>2</v>
      </c>
      <c r="O193" s="12">
        <v>36.799999999999997</v>
      </c>
      <c r="P193" s="13">
        <f t="shared" si="10"/>
        <v>19006.240000000002</v>
      </c>
      <c r="Q193" s="14">
        <f t="shared" si="11"/>
        <v>22.043555555555557</v>
      </c>
    </row>
    <row r="194" spans="1:17" x14ac:dyDescent="0.25">
      <c r="A194" s="9" t="s">
        <v>204</v>
      </c>
      <c r="B194" s="10">
        <v>2</v>
      </c>
      <c r="C194" s="10">
        <v>8</v>
      </c>
      <c r="D194" s="11">
        <v>17.73</v>
      </c>
      <c r="E194" s="12">
        <v>11</v>
      </c>
      <c r="F194" s="12">
        <v>3</v>
      </c>
      <c r="G194" s="12">
        <v>15.5</v>
      </c>
      <c r="H194" s="13">
        <f t="shared" si="8"/>
        <v>7697.73</v>
      </c>
      <c r="I194" s="14">
        <f t="shared" si="9"/>
        <v>11.054305555555555</v>
      </c>
      <c r="J194" s="10">
        <v>5</v>
      </c>
      <c r="K194" s="10">
        <v>21</v>
      </c>
      <c r="L194" s="10">
        <v>55.78</v>
      </c>
      <c r="M194" s="12">
        <v>22</v>
      </c>
      <c r="N194" s="12">
        <v>10</v>
      </c>
      <c r="O194" s="12">
        <v>10.1</v>
      </c>
      <c r="P194" s="13">
        <f t="shared" si="10"/>
        <v>19315.78</v>
      </c>
      <c r="Q194" s="14">
        <f t="shared" si="11"/>
        <v>22.169472222222222</v>
      </c>
    </row>
    <row r="195" spans="1:17" x14ac:dyDescent="0.25">
      <c r="A195" s="9" t="s">
        <v>205</v>
      </c>
      <c r="B195" s="10">
        <v>2</v>
      </c>
      <c r="C195" s="10">
        <v>10</v>
      </c>
      <c r="D195" s="11">
        <v>56.39</v>
      </c>
      <c r="E195" s="12">
        <v>11</v>
      </c>
      <c r="F195" s="12">
        <v>17</v>
      </c>
      <c r="G195" s="12">
        <v>20.2</v>
      </c>
      <c r="H195" s="13">
        <f t="shared" si="8"/>
        <v>7856.39</v>
      </c>
      <c r="I195" s="14">
        <f t="shared" si="9"/>
        <v>11.288944444444445</v>
      </c>
      <c r="J195" s="10">
        <v>5</v>
      </c>
      <c r="K195" s="10">
        <v>27</v>
      </c>
      <c r="L195" s="10">
        <v>6.02</v>
      </c>
      <c r="M195" s="12">
        <v>22</v>
      </c>
      <c r="N195" s="12">
        <v>17</v>
      </c>
      <c r="O195" s="12">
        <v>6.9</v>
      </c>
      <c r="P195" s="13">
        <f t="shared" si="10"/>
        <v>19626.02</v>
      </c>
      <c r="Q195" s="14">
        <f t="shared" si="11"/>
        <v>22.285250000000001</v>
      </c>
    </row>
    <row r="196" spans="1:17" x14ac:dyDescent="0.25">
      <c r="A196" s="9" t="s">
        <v>206</v>
      </c>
      <c r="B196" s="10">
        <v>2</v>
      </c>
      <c r="C196" s="10">
        <v>13</v>
      </c>
      <c r="D196" s="11">
        <v>34.909999999999997</v>
      </c>
      <c r="E196" s="12">
        <v>11</v>
      </c>
      <c r="F196" s="12">
        <v>31</v>
      </c>
      <c r="G196" s="12">
        <v>17.5</v>
      </c>
      <c r="H196" s="13">
        <f t="shared" ref="H196:H259" si="12">B196*3600+C196*60+D196</f>
        <v>8014.91</v>
      </c>
      <c r="I196" s="14">
        <f t="shared" ref="I196:I259" si="13">F196/60+G196/3600+E196</f>
        <v>11.521527777777777</v>
      </c>
      <c r="J196" s="10">
        <v>5</v>
      </c>
      <c r="K196" s="10">
        <v>32</v>
      </c>
      <c r="L196" s="10">
        <v>16.93</v>
      </c>
      <c r="M196" s="12">
        <v>22</v>
      </c>
      <c r="N196" s="12">
        <v>23</v>
      </c>
      <c r="O196" s="12">
        <v>27</v>
      </c>
      <c r="P196" s="13">
        <f t="shared" ref="P196:P259" si="14">J196*3600+K196*60+L196</f>
        <v>19936.93</v>
      </c>
      <c r="Q196" s="14">
        <f t="shared" ref="Q196:Q259" si="15">M196+N196/60+O196/3600</f>
        <v>22.390833333333333</v>
      </c>
    </row>
    <row r="197" spans="1:17" x14ac:dyDescent="0.25">
      <c r="A197" s="9" t="s">
        <v>207</v>
      </c>
      <c r="B197" s="10">
        <v>2</v>
      </c>
      <c r="C197" s="10">
        <v>16</v>
      </c>
      <c r="D197" s="11">
        <v>13.28</v>
      </c>
      <c r="E197" s="12">
        <v>11</v>
      </c>
      <c r="F197" s="12">
        <v>45</v>
      </c>
      <c r="G197" s="12">
        <v>7.2</v>
      </c>
      <c r="H197" s="13">
        <f t="shared" si="12"/>
        <v>8173.28</v>
      </c>
      <c r="I197" s="14">
        <f t="shared" si="13"/>
        <v>11.752000000000001</v>
      </c>
      <c r="J197" s="10">
        <v>5</v>
      </c>
      <c r="K197" s="10">
        <v>37</v>
      </c>
      <c r="L197" s="10">
        <v>28.47</v>
      </c>
      <c r="M197" s="12">
        <v>22</v>
      </c>
      <c r="N197" s="12">
        <v>29</v>
      </c>
      <c r="O197" s="12">
        <v>9.9</v>
      </c>
      <c r="P197" s="13">
        <f t="shared" si="14"/>
        <v>20248.47</v>
      </c>
      <c r="Q197" s="14">
        <f t="shared" si="15"/>
        <v>22.486083333333333</v>
      </c>
    </row>
    <row r="198" spans="1:17" x14ac:dyDescent="0.25">
      <c r="A198" s="9" t="s">
        <v>208</v>
      </c>
      <c r="B198" s="10">
        <v>2</v>
      </c>
      <c r="C198" s="10">
        <v>18</v>
      </c>
      <c r="D198" s="11">
        <v>51.49</v>
      </c>
      <c r="E198" s="12">
        <v>11</v>
      </c>
      <c r="F198" s="12">
        <v>58</v>
      </c>
      <c r="G198" s="12">
        <v>49.2</v>
      </c>
      <c r="H198" s="13">
        <f t="shared" si="12"/>
        <v>8331.49</v>
      </c>
      <c r="I198" s="14">
        <f t="shared" si="13"/>
        <v>11.980333333333334</v>
      </c>
      <c r="J198" s="10">
        <v>5</v>
      </c>
      <c r="K198" s="10">
        <v>42</v>
      </c>
      <c r="L198" s="10">
        <v>40.6</v>
      </c>
      <c r="M198" s="12">
        <v>22</v>
      </c>
      <c r="N198" s="12">
        <v>34</v>
      </c>
      <c r="O198" s="12">
        <v>15.4</v>
      </c>
      <c r="P198" s="13">
        <f t="shared" si="14"/>
        <v>20560.599999999999</v>
      </c>
      <c r="Q198" s="14">
        <f t="shared" si="15"/>
        <v>22.570944444444443</v>
      </c>
    </row>
    <row r="199" spans="1:17" x14ac:dyDescent="0.25">
      <c r="A199" s="9" t="s">
        <v>209</v>
      </c>
      <c r="B199" s="10">
        <v>2</v>
      </c>
      <c r="C199" s="10">
        <v>21</v>
      </c>
      <c r="D199" s="11">
        <v>29.55</v>
      </c>
      <c r="E199" s="12">
        <v>12</v>
      </c>
      <c r="F199" s="12">
        <v>12</v>
      </c>
      <c r="G199" s="12">
        <v>23.4</v>
      </c>
      <c r="H199" s="13">
        <f t="shared" si="12"/>
        <v>8489.5499999999993</v>
      </c>
      <c r="I199" s="14">
        <f t="shared" si="13"/>
        <v>12.2065</v>
      </c>
      <c r="J199" s="10">
        <v>5</v>
      </c>
      <c r="K199" s="10">
        <v>47</v>
      </c>
      <c r="L199" s="10">
        <v>53.28</v>
      </c>
      <c r="M199" s="12">
        <v>22</v>
      </c>
      <c r="N199" s="12">
        <v>38</v>
      </c>
      <c r="O199" s="12">
        <v>43.1</v>
      </c>
      <c r="P199" s="13">
        <f t="shared" si="14"/>
        <v>20873.28</v>
      </c>
      <c r="Q199" s="14">
        <f t="shared" si="15"/>
        <v>22.645305555555556</v>
      </c>
    </row>
    <row r="200" spans="1:17" x14ac:dyDescent="0.25">
      <c r="A200" s="9" t="s">
        <v>210</v>
      </c>
      <c r="B200" s="10">
        <v>2</v>
      </c>
      <c r="C200" s="10">
        <v>24</v>
      </c>
      <c r="D200" s="11">
        <v>7.44</v>
      </c>
      <c r="E200" s="12">
        <v>12</v>
      </c>
      <c r="F200" s="12">
        <v>25</v>
      </c>
      <c r="G200" s="12">
        <v>49.8</v>
      </c>
      <c r="H200" s="13">
        <f t="shared" si="12"/>
        <v>8647.44</v>
      </c>
      <c r="I200" s="14">
        <f t="shared" si="13"/>
        <v>12.4305</v>
      </c>
      <c r="J200" s="10">
        <v>5</v>
      </c>
      <c r="K200" s="10">
        <v>53</v>
      </c>
      <c r="L200" s="10">
        <v>6.46</v>
      </c>
      <c r="M200" s="12">
        <v>22</v>
      </c>
      <c r="N200" s="12">
        <v>42</v>
      </c>
      <c r="O200" s="12">
        <v>32.700000000000003</v>
      </c>
      <c r="P200" s="13">
        <f t="shared" si="14"/>
        <v>21186.46</v>
      </c>
      <c r="Q200" s="14">
        <f t="shared" si="15"/>
        <v>22.709083333333332</v>
      </c>
    </row>
    <row r="201" spans="1:17" x14ac:dyDescent="0.25">
      <c r="A201" s="9" t="s">
        <v>211</v>
      </c>
      <c r="B201" s="10">
        <v>2</v>
      </c>
      <c r="C201" s="10">
        <v>26</v>
      </c>
      <c r="D201" s="11">
        <v>45.15</v>
      </c>
      <c r="E201" s="12">
        <v>12</v>
      </c>
      <c r="F201" s="12">
        <v>39</v>
      </c>
      <c r="G201" s="12">
        <v>8.1</v>
      </c>
      <c r="H201" s="13">
        <f t="shared" si="12"/>
        <v>8805.15</v>
      </c>
      <c r="I201" s="14">
        <f t="shared" si="13"/>
        <v>12.65225</v>
      </c>
      <c r="J201" s="10">
        <v>5</v>
      </c>
      <c r="K201" s="10">
        <v>58</v>
      </c>
      <c r="L201" s="10">
        <v>20.100000000000001</v>
      </c>
      <c r="M201" s="12">
        <v>22</v>
      </c>
      <c r="N201" s="12">
        <v>45</v>
      </c>
      <c r="O201" s="12">
        <v>44</v>
      </c>
      <c r="P201" s="13">
        <f t="shared" si="14"/>
        <v>21500.1</v>
      </c>
      <c r="Q201" s="14">
        <f t="shared" si="15"/>
        <v>22.762222222222221</v>
      </c>
    </row>
    <row r="202" spans="1:17" x14ac:dyDescent="0.25">
      <c r="A202" s="9" t="s">
        <v>212</v>
      </c>
      <c r="B202" s="10">
        <v>2</v>
      </c>
      <c r="C202" s="10">
        <v>29</v>
      </c>
      <c r="D202" s="11">
        <v>22.68</v>
      </c>
      <c r="E202" s="12">
        <v>12</v>
      </c>
      <c r="F202" s="12">
        <v>52</v>
      </c>
      <c r="G202" s="12">
        <v>18.399999999999999</v>
      </c>
      <c r="H202" s="13">
        <f t="shared" si="12"/>
        <v>8962.68</v>
      </c>
      <c r="I202" s="14">
        <f t="shared" si="13"/>
        <v>12.871777777777778</v>
      </c>
      <c r="J202" s="10">
        <v>6</v>
      </c>
      <c r="K202" s="10">
        <v>3</v>
      </c>
      <c r="L202" s="10">
        <v>34.14</v>
      </c>
      <c r="M202" s="12">
        <v>22</v>
      </c>
      <c r="N202" s="12">
        <v>48</v>
      </c>
      <c r="O202" s="12">
        <v>16.7</v>
      </c>
      <c r="P202" s="13">
        <f t="shared" si="14"/>
        <v>21814.14</v>
      </c>
      <c r="Q202" s="14">
        <f t="shared" si="15"/>
        <v>22.804638888888888</v>
      </c>
    </row>
    <row r="203" spans="1:17" x14ac:dyDescent="0.25">
      <c r="A203" s="9" t="s">
        <v>213</v>
      </c>
      <c r="B203" s="10">
        <v>2</v>
      </c>
      <c r="C203" s="10">
        <v>32</v>
      </c>
      <c r="D203" s="11">
        <v>0</v>
      </c>
      <c r="E203" s="12">
        <v>13</v>
      </c>
      <c r="F203" s="12">
        <v>5</v>
      </c>
      <c r="G203" s="12">
        <v>20.399999999999999</v>
      </c>
      <c r="H203" s="13">
        <f t="shared" si="12"/>
        <v>9120</v>
      </c>
      <c r="I203" s="14">
        <f t="shared" si="13"/>
        <v>13.089</v>
      </c>
      <c r="J203" s="10">
        <v>6</v>
      </c>
      <c r="K203" s="10">
        <v>8</v>
      </c>
      <c r="L203" s="10">
        <v>48.55</v>
      </c>
      <c r="M203" s="12">
        <v>22</v>
      </c>
      <c r="N203" s="12">
        <v>50</v>
      </c>
      <c r="O203" s="12">
        <v>10.5</v>
      </c>
      <c r="P203" s="13">
        <f t="shared" si="14"/>
        <v>22128.55</v>
      </c>
      <c r="Q203" s="14">
        <f t="shared" si="15"/>
        <v>22.83625</v>
      </c>
    </row>
    <row r="204" spans="1:17" x14ac:dyDescent="0.25">
      <c r="A204" s="9" t="s">
        <v>214</v>
      </c>
      <c r="B204" s="10">
        <v>2</v>
      </c>
      <c r="C204" s="10">
        <v>34</v>
      </c>
      <c r="D204" s="11">
        <v>37.119999999999997</v>
      </c>
      <c r="E204" s="12">
        <v>13</v>
      </c>
      <c r="F204" s="12">
        <v>18</v>
      </c>
      <c r="G204" s="12">
        <v>14.1</v>
      </c>
      <c r="H204" s="13">
        <f t="shared" si="12"/>
        <v>9277.1200000000008</v>
      </c>
      <c r="I204" s="14">
        <f t="shared" si="13"/>
        <v>13.303916666666666</v>
      </c>
      <c r="J204" s="10">
        <v>6</v>
      </c>
      <c r="K204" s="10">
        <v>14</v>
      </c>
      <c r="L204" s="10">
        <v>3.26</v>
      </c>
      <c r="M204" s="12">
        <v>22</v>
      </c>
      <c r="N204" s="12">
        <v>51</v>
      </c>
      <c r="O204" s="12">
        <v>25.4</v>
      </c>
      <c r="P204" s="13">
        <f t="shared" si="14"/>
        <v>22443.26</v>
      </c>
      <c r="Q204" s="14">
        <f t="shared" si="15"/>
        <v>22.857055555555558</v>
      </c>
    </row>
    <row r="205" spans="1:17" x14ac:dyDescent="0.25">
      <c r="A205" s="9" t="s">
        <v>215</v>
      </c>
      <c r="B205" s="10">
        <v>2</v>
      </c>
      <c r="C205" s="10">
        <v>37</v>
      </c>
      <c r="D205" s="11">
        <v>14.02</v>
      </c>
      <c r="E205" s="12">
        <v>13</v>
      </c>
      <c r="F205" s="12">
        <v>30</v>
      </c>
      <c r="G205" s="12">
        <v>59.4</v>
      </c>
      <c r="H205" s="13">
        <f t="shared" si="12"/>
        <v>9434.02</v>
      </c>
      <c r="I205" s="14">
        <f t="shared" si="13"/>
        <v>13.516500000000001</v>
      </c>
      <c r="J205" s="10">
        <v>6</v>
      </c>
      <c r="K205" s="10">
        <v>19</v>
      </c>
      <c r="L205" s="10">
        <v>18.22</v>
      </c>
      <c r="M205" s="12">
        <v>22</v>
      </c>
      <c r="N205" s="12">
        <v>52</v>
      </c>
      <c r="O205" s="12">
        <v>1.2</v>
      </c>
      <c r="P205" s="13">
        <f t="shared" si="14"/>
        <v>22758.22</v>
      </c>
      <c r="Q205" s="14">
        <f t="shared" si="15"/>
        <v>22.867000000000001</v>
      </c>
    </row>
    <row r="206" spans="1:17" x14ac:dyDescent="0.25">
      <c r="A206" s="9" t="s">
        <v>216</v>
      </c>
      <c r="B206" s="10">
        <v>2</v>
      </c>
      <c r="C206" s="10">
        <v>39</v>
      </c>
      <c r="D206" s="11">
        <v>50.69</v>
      </c>
      <c r="E206" s="12">
        <v>13</v>
      </c>
      <c r="F206" s="12">
        <v>43</v>
      </c>
      <c r="G206" s="12">
        <v>36.1</v>
      </c>
      <c r="H206" s="13">
        <f t="shared" si="12"/>
        <v>9590.69</v>
      </c>
      <c r="I206" s="14">
        <f t="shared" si="13"/>
        <v>13.726694444444444</v>
      </c>
      <c r="J206" s="10">
        <v>6</v>
      </c>
      <c r="K206" s="10">
        <v>24</v>
      </c>
      <c r="L206" s="10">
        <v>33.39</v>
      </c>
      <c r="M206" s="12">
        <v>22</v>
      </c>
      <c r="N206" s="12">
        <v>51</v>
      </c>
      <c r="O206" s="12">
        <v>57.6</v>
      </c>
      <c r="P206" s="13">
        <f t="shared" si="14"/>
        <v>23073.39</v>
      </c>
      <c r="Q206" s="14">
        <f t="shared" si="15"/>
        <v>22.866</v>
      </c>
    </row>
    <row r="207" spans="1:17" x14ac:dyDescent="0.25">
      <c r="A207" s="9" t="s">
        <v>217</v>
      </c>
      <c r="B207" s="10">
        <v>2</v>
      </c>
      <c r="C207" s="10">
        <v>42</v>
      </c>
      <c r="D207" s="11">
        <v>27.11</v>
      </c>
      <c r="E207" s="12">
        <v>13</v>
      </c>
      <c r="F207" s="12">
        <v>56</v>
      </c>
      <c r="G207" s="12">
        <v>4.3</v>
      </c>
      <c r="H207" s="13">
        <f t="shared" si="12"/>
        <v>9747.11</v>
      </c>
      <c r="I207" s="14">
        <f t="shared" si="13"/>
        <v>13.934527777777777</v>
      </c>
      <c r="J207" s="10">
        <v>6</v>
      </c>
      <c r="K207" s="10">
        <v>29</v>
      </c>
      <c r="L207" s="10">
        <v>48.71</v>
      </c>
      <c r="M207" s="12">
        <v>22</v>
      </c>
      <c r="N207" s="12">
        <v>51</v>
      </c>
      <c r="O207" s="12">
        <v>14.6</v>
      </c>
      <c r="P207" s="13">
        <f t="shared" si="14"/>
        <v>23388.71</v>
      </c>
      <c r="Q207" s="14">
        <f t="shared" si="15"/>
        <v>22.854055555555558</v>
      </c>
    </row>
    <row r="208" spans="1:17" x14ac:dyDescent="0.25">
      <c r="A208" s="9" t="s">
        <v>218</v>
      </c>
      <c r="B208" s="10">
        <v>2</v>
      </c>
      <c r="C208" s="10">
        <v>45</v>
      </c>
      <c r="D208" s="11">
        <v>3.27</v>
      </c>
      <c r="E208" s="12">
        <v>14</v>
      </c>
      <c r="F208" s="12">
        <v>8</v>
      </c>
      <c r="G208" s="12">
        <v>23.7</v>
      </c>
      <c r="H208" s="13">
        <f t="shared" si="12"/>
        <v>9903.27</v>
      </c>
      <c r="I208" s="14">
        <f t="shared" si="13"/>
        <v>14.139916666666666</v>
      </c>
      <c r="J208" s="10">
        <v>6</v>
      </c>
      <c r="K208" s="10">
        <v>35</v>
      </c>
      <c r="L208" s="10">
        <v>4.12</v>
      </c>
      <c r="M208" s="12">
        <v>22</v>
      </c>
      <c r="N208" s="12">
        <v>49</v>
      </c>
      <c r="O208" s="12">
        <v>52.2</v>
      </c>
      <c r="P208" s="13">
        <f t="shared" si="14"/>
        <v>23704.12</v>
      </c>
      <c r="Q208" s="14">
        <f t="shared" si="15"/>
        <v>22.831166666666668</v>
      </c>
    </row>
    <row r="209" spans="1:17" x14ac:dyDescent="0.25">
      <c r="A209" s="9" t="s">
        <v>219</v>
      </c>
      <c r="B209" s="10">
        <v>2</v>
      </c>
      <c r="C209" s="10">
        <v>47</v>
      </c>
      <c r="D209" s="11">
        <v>39.159999999999997</v>
      </c>
      <c r="E209" s="12">
        <v>14</v>
      </c>
      <c r="F209" s="12">
        <v>20</v>
      </c>
      <c r="G209" s="12">
        <v>34.299999999999997</v>
      </c>
      <c r="H209" s="13">
        <f t="shared" si="12"/>
        <v>10059.16</v>
      </c>
      <c r="I209" s="14">
        <f t="shared" si="13"/>
        <v>14.342861111111111</v>
      </c>
      <c r="J209" s="10">
        <v>6</v>
      </c>
      <c r="K209" s="10">
        <v>40</v>
      </c>
      <c r="L209" s="10">
        <v>19.57</v>
      </c>
      <c r="M209" s="12">
        <v>22</v>
      </c>
      <c r="N209" s="12">
        <v>47</v>
      </c>
      <c r="O209" s="12">
        <v>50.2</v>
      </c>
      <c r="P209" s="13">
        <f t="shared" si="14"/>
        <v>24019.57</v>
      </c>
      <c r="Q209" s="14">
        <f t="shared" si="15"/>
        <v>22.797277777777779</v>
      </c>
    </row>
    <row r="210" spans="1:17" x14ac:dyDescent="0.25">
      <c r="A210" s="9" t="s">
        <v>220</v>
      </c>
      <c r="B210" s="10">
        <v>2</v>
      </c>
      <c r="C210" s="10">
        <v>50</v>
      </c>
      <c r="D210" s="11">
        <v>14.77</v>
      </c>
      <c r="E210" s="12">
        <v>14</v>
      </c>
      <c r="F210" s="12">
        <v>32</v>
      </c>
      <c r="G210" s="12">
        <v>36</v>
      </c>
      <c r="H210" s="13">
        <f t="shared" si="12"/>
        <v>10214.77</v>
      </c>
      <c r="I210" s="14">
        <f t="shared" si="13"/>
        <v>14.543333333333333</v>
      </c>
      <c r="J210" s="10">
        <v>6</v>
      </c>
      <c r="K210" s="10">
        <v>45</v>
      </c>
      <c r="L210" s="10">
        <v>35.01</v>
      </c>
      <c r="M210" s="12">
        <v>22</v>
      </c>
      <c r="N210" s="12">
        <v>45</v>
      </c>
      <c r="O210" s="12">
        <v>8.6999999999999993</v>
      </c>
      <c r="P210" s="13">
        <f t="shared" si="14"/>
        <v>24335.01</v>
      </c>
      <c r="Q210" s="14">
        <f t="shared" si="15"/>
        <v>22.752416666666665</v>
      </c>
    </row>
    <row r="211" spans="1:17" x14ac:dyDescent="0.25">
      <c r="A211" s="9" t="s">
        <v>221</v>
      </c>
      <c r="B211" s="10">
        <v>2</v>
      </c>
      <c r="C211" s="10">
        <v>52</v>
      </c>
      <c r="D211" s="11">
        <v>50.08</v>
      </c>
      <c r="E211" s="12">
        <v>14</v>
      </c>
      <c r="F211" s="12">
        <v>44</v>
      </c>
      <c r="G211" s="12">
        <v>28.8</v>
      </c>
      <c r="H211" s="13">
        <f t="shared" si="12"/>
        <v>10370.08</v>
      </c>
      <c r="I211" s="14">
        <f t="shared" si="13"/>
        <v>14.741333333333333</v>
      </c>
      <c r="J211" s="10">
        <v>6</v>
      </c>
      <c r="K211" s="10">
        <v>50</v>
      </c>
      <c r="L211" s="10">
        <v>50.38</v>
      </c>
      <c r="M211" s="12">
        <v>22</v>
      </c>
      <c r="N211" s="12">
        <v>41</v>
      </c>
      <c r="O211" s="12">
        <v>47.7</v>
      </c>
      <c r="P211" s="13">
        <f t="shared" si="14"/>
        <v>24650.38</v>
      </c>
      <c r="Q211" s="14">
        <f t="shared" si="15"/>
        <v>22.696583333333333</v>
      </c>
    </row>
    <row r="212" spans="1:17" x14ac:dyDescent="0.25">
      <c r="A212" s="9" t="s">
        <v>222</v>
      </c>
      <c r="B212" s="10">
        <v>2</v>
      </c>
      <c r="C212" s="10">
        <v>55</v>
      </c>
      <c r="D212" s="11">
        <v>25.08</v>
      </c>
      <c r="E212" s="12">
        <v>14</v>
      </c>
      <c r="F212" s="12">
        <v>56</v>
      </c>
      <c r="G212" s="12">
        <v>12.6</v>
      </c>
      <c r="H212" s="13">
        <f t="shared" si="12"/>
        <v>10525.08</v>
      </c>
      <c r="I212" s="14">
        <f t="shared" si="13"/>
        <v>14.936833333333333</v>
      </c>
      <c r="J212" s="10">
        <v>6</v>
      </c>
      <c r="K212" s="10">
        <v>56</v>
      </c>
      <c r="L212" s="10">
        <v>5.64</v>
      </c>
      <c r="M212" s="12">
        <v>22</v>
      </c>
      <c r="N212" s="12">
        <v>37</v>
      </c>
      <c r="O212" s="12">
        <v>47.2</v>
      </c>
      <c r="P212" s="13">
        <f t="shared" si="14"/>
        <v>24965.64</v>
      </c>
      <c r="Q212" s="14">
        <f t="shared" si="15"/>
        <v>22.629777777777779</v>
      </c>
    </row>
    <row r="213" spans="1:17" x14ac:dyDescent="0.25">
      <c r="A213" s="9" t="s">
        <v>223</v>
      </c>
      <c r="B213" s="10">
        <v>2</v>
      </c>
      <c r="C213" s="10">
        <v>57</v>
      </c>
      <c r="D213" s="11">
        <v>59.76</v>
      </c>
      <c r="E213" s="12">
        <v>15</v>
      </c>
      <c r="F213" s="12">
        <v>7</v>
      </c>
      <c r="G213" s="12">
        <v>47.3</v>
      </c>
      <c r="H213" s="13">
        <f t="shared" si="12"/>
        <v>10679.76</v>
      </c>
      <c r="I213" s="14">
        <f t="shared" si="13"/>
        <v>15.129805555555556</v>
      </c>
      <c r="J213" s="10">
        <v>7</v>
      </c>
      <c r="K213" s="10">
        <v>1</v>
      </c>
      <c r="L213" s="10">
        <v>20.72</v>
      </c>
      <c r="M213" s="12">
        <v>22</v>
      </c>
      <c r="N213" s="12">
        <v>33</v>
      </c>
      <c r="O213" s="12">
        <v>7.3</v>
      </c>
      <c r="P213" s="13">
        <f t="shared" si="14"/>
        <v>25280.720000000001</v>
      </c>
      <c r="Q213" s="14">
        <f t="shared" si="15"/>
        <v>22.552027777777777</v>
      </c>
    </row>
    <row r="214" spans="1:17" x14ac:dyDescent="0.25">
      <c r="A214" s="9" t="s">
        <v>224</v>
      </c>
      <c r="B214" s="10">
        <v>3</v>
      </c>
      <c r="C214" s="10">
        <v>0</v>
      </c>
      <c r="D214" s="11">
        <v>34.11</v>
      </c>
      <c r="E214" s="12">
        <v>15</v>
      </c>
      <c r="F214" s="12">
        <v>19</v>
      </c>
      <c r="G214" s="12">
        <v>12.9</v>
      </c>
      <c r="H214" s="13">
        <f t="shared" si="12"/>
        <v>10834.11</v>
      </c>
      <c r="I214" s="14">
        <f t="shared" si="13"/>
        <v>15.32025</v>
      </c>
      <c r="J214" s="10">
        <v>7</v>
      </c>
      <c r="K214" s="10">
        <v>6</v>
      </c>
      <c r="L214" s="10">
        <v>35.58</v>
      </c>
      <c r="M214" s="12">
        <v>22</v>
      </c>
      <c r="N214" s="12">
        <v>27</v>
      </c>
      <c r="O214" s="12">
        <v>48.1</v>
      </c>
      <c r="P214" s="13">
        <f t="shared" si="14"/>
        <v>25595.58</v>
      </c>
      <c r="Q214" s="14">
        <f t="shared" si="15"/>
        <v>22.463361111111109</v>
      </c>
    </row>
    <row r="215" spans="1:17" x14ac:dyDescent="0.25">
      <c r="A215" s="9" t="s">
        <v>225</v>
      </c>
      <c r="B215" s="10">
        <v>3</v>
      </c>
      <c r="C215" s="10">
        <v>3</v>
      </c>
      <c r="D215" s="11">
        <v>8.1</v>
      </c>
      <c r="E215" s="12">
        <v>15</v>
      </c>
      <c r="F215" s="12">
        <v>30</v>
      </c>
      <c r="G215" s="12">
        <v>29.3</v>
      </c>
      <c r="H215" s="13">
        <f t="shared" si="12"/>
        <v>10988.1</v>
      </c>
      <c r="I215" s="14">
        <f t="shared" si="13"/>
        <v>15.508138888888888</v>
      </c>
      <c r="J215" s="10">
        <v>7</v>
      </c>
      <c r="K215" s="10">
        <v>11</v>
      </c>
      <c r="L215" s="10">
        <v>50.16</v>
      </c>
      <c r="M215" s="12">
        <v>22</v>
      </c>
      <c r="N215" s="12">
        <v>21</v>
      </c>
      <c r="O215" s="12">
        <v>49.7</v>
      </c>
      <c r="P215" s="13">
        <f t="shared" si="14"/>
        <v>25910.16</v>
      </c>
      <c r="Q215" s="14">
        <f t="shared" si="15"/>
        <v>22.363805555555558</v>
      </c>
    </row>
    <row r="216" spans="1:17" x14ac:dyDescent="0.25">
      <c r="A216" s="9" t="s">
        <v>226</v>
      </c>
      <c r="B216" s="10">
        <v>3</v>
      </c>
      <c r="C216" s="10">
        <v>5</v>
      </c>
      <c r="D216" s="11">
        <v>41.74</v>
      </c>
      <c r="E216" s="12">
        <v>15</v>
      </c>
      <c r="F216" s="12">
        <v>41</v>
      </c>
      <c r="G216" s="12">
        <v>36.5</v>
      </c>
      <c r="H216" s="13">
        <f t="shared" si="12"/>
        <v>11141.74</v>
      </c>
      <c r="I216" s="14">
        <f t="shared" si="13"/>
        <v>15.693472222222223</v>
      </c>
      <c r="J216" s="10">
        <v>7</v>
      </c>
      <c r="K216" s="10">
        <v>17</v>
      </c>
      <c r="L216" s="10">
        <v>4.42</v>
      </c>
      <c r="M216" s="12">
        <v>22</v>
      </c>
      <c r="N216" s="12">
        <v>15</v>
      </c>
      <c r="O216" s="12">
        <v>12.3</v>
      </c>
      <c r="P216" s="13">
        <f t="shared" si="14"/>
        <v>26224.42</v>
      </c>
      <c r="Q216" s="14">
        <f t="shared" si="15"/>
        <v>22.253416666666666</v>
      </c>
    </row>
    <row r="217" spans="1:17" x14ac:dyDescent="0.25">
      <c r="A217" s="9" t="s">
        <v>227</v>
      </c>
      <c r="B217" s="10">
        <v>3</v>
      </c>
      <c r="C217" s="10">
        <v>8</v>
      </c>
      <c r="D217" s="11">
        <v>15</v>
      </c>
      <c r="E217" s="12">
        <v>15</v>
      </c>
      <c r="F217" s="12">
        <v>52</v>
      </c>
      <c r="G217" s="12">
        <v>34.5</v>
      </c>
      <c r="H217" s="13">
        <f t="shared" si="12"/>
        <v>11295</v>
      </c>
      <c r="I217" s="14">
        <f t="shared" si="13"/>
        <v>15.876250000000001</v>
      </c>
      <c r="J217" s="10">
        <v>7</v>
      </c>
      <c r="K217" s="10">
        <v>22</v>
      </c>
      <c r="L217" s="10">
        <v>18.309999999999999</v>
      </c>
      <c r="M217" s="12">
        <v>22</v>
      </c>
      <c r="N217" s="12">
        <v>7</v>
      </c>
      <c r="O217" s="12">
        <v>56</v>
      </c>
      <c r="P217" s="13">
        <f t="shared" si="14"/>
        <v>26538.31</v>
      </c>
      <c r="Q217" s="14">
        <f t="shared" si="15"/>
        <v>22.132222222222222</v>
      </c>
    </row>
    <row r="218" spans="1:17" x14ac:dyDescent="0.25">
      <c r="A218" s="9" t="s">
        <v>228</v>
      </c>
      <c r="B218" s="10">
        <v>3</v>
      </c>
      <c r="C218" s="10">
        <v>10</v>
      </c>
      <c r="D218" s="11">
        <v>47.88</v>
      </c>
      <c r="E218" s="12">
        <v>16</v>
      </c>
      <c r="F218" s="12">
        <v>3</v>
      </c>
      <c r="G218" s="12">
        <v>23.2</v>
      </c>
      <c r="H218" s="13">
        <f t="shared" si="12"/>
        <v>11447.88</v>
      </c>
      <c r="I218" s="14">
        <f t="shared" si="13"/>
        <v>16.056444444444445</v>
      </c>
      <c r="J218" s="10">
        <v>7</v>
      </c>
      <c r="K218" s="10">
        <v>27</v>
      </c>
      <c r="L218" s="10">
        <v>31.78</v>
      </c>
      <c r="M218" s="12">
        <v>22</v>
      </c>
      <c r="N218" s="12">
        <v>0</v>
      </c>
      <c r="O218" s="12">
        <v>1.2</v>
      </c>
      <c r="P218" s="13">
        <f t="shared" si="14"/>
        <v>26851.78</v>
      </c>
      <c r="Q218" s="14">
        <f t="shared" si="15"/>
        <v>22.000333333333334</v>
      </c>
    </row>
    <row r="219" spans="1:17" x14ac:dyDescent="0.25">
      <c r="A219" s="9" t="s">
        <v>229</v>
      </c>
      <c r="B219" s="10">
        <v>3</v>
      </c>
      <c r="C219" s="10">
        <v>13</v>
      </c>
      <c r="D219" s="11">
        <v>20.36</v>
      </c>
      <c r="E219" s="12">
        <v>16</v>
      </c>
      <c r="F219" s="12">
        <v>14</v>
      </c>
      <c r="G219" s="12">
        <v>2.6</v>
      </c>
      <c r="H219" s="13">
        <f t="shared" si="12"/>
        <v>11600.36</v>
      </c>
      <c r="I219" s="14">
        <f t="shared" si="13"/>
        <v>16.234055555555557</v>
      </c>
      <c r="J219" s="10">
        <v>7</v>
      </c>
      <c r="K219" s="10">
        <v>32</v>
      </c>
      <c r="L219" s="10">
        <v>44.78</v>
      </c>
      <c r="M219" s="12">
        <v>21</v>
      </c>
      <c r="N219" s="12">
        <v>51</v>
      </c>
      <c r="O219" s="12">
        <v>27.9</v>
      </c>
      <c r="P219" s="13">
        <f t="shared" si="14"/>
        <v>27164.78</v>
      </c>
      <c r="Q219" s="14">
        <f t="shared" si="15"/>
        <v>21.857750000000003</v>
      </c>
    </row>
    <row r="220" spans="1:17" x14ac:dyDescent="0.25">
      <c r="A220" s="9" t="s">
        <v>230</v>
      </c>
      <c r="B220" s="10">
        <v>3</v>
      </c>
      <c r="C220" s="10">
        <v>15</v>
      </c>
      <c r="D220" s="11">
        <v>52.43</v>
      </c>
      <c r="E220" s="12">
        <v>16</v>
      </c>
      <c r="F220" s="12">
        <v>24</v>
      </c>
      <c r="G220" s="12">
        <v>32.700000000000003</v>
      </c>
      <c r="H220" s="13">
        <f t="shared" si="12"/>
        <v>11752.43</v>
      </c>
      <c r="I220" s="14">
        <f t="shared" si="13"/>
        <v>16.409083333333335</v>
      </c>
      <c r="J220" s="10">
        <v>7</v>
      </c>
      <c r="K220" s="10">
        <v>37</v>
      </c>
      <c r="L220" s="10">
        <v>57.28</v>
      </c>
      <c r="M220" s="12">
        <v>21</v>
      </c>
      <c r="N220" s="12">
        <v>42</v>
      </c>
      <c r="O220" s="12">
        <v>16.600000000000001</v>
      </c>
      <c r="P220" s="13">
        <f t="shared" si="14"/>
        <v>27477.279999999999</v>
      </c>
      <c r="Q220" s="14">
        <f t="shared" si="15"/>
        <v>21.70461111111111</v>
      </c>
    </row>
    <row r="221" spans="1:17" x14ac:dyDescent="0.25">
      <c r="A221" s="9" t="s">
        <v>231</v>
      </c>
      <c r="B221" s="10">
        <v>3</v>
      </c>
      <c r="C221" s="10">
        <v>18</v>
      </c>
      <c r="D221" s="11">
        <v>24.08</v>
      </c>
      <c r="E221" s="12">
        <v>16</v>
      </c>
      <c r="F221" s="12">
        <v>34</v>
      </c>
      <c r="G221" s="12">
        <v>53.6</v>
      </c>
      <c r="H221" s="13">
        <f t="shared" si="12"/>
        <v>11904.08</v>
      </c>
      <c r="I221" s="14">
        <f t="shared" si="13"/>
        <v>16.581555555555557</v>
      </c>
      <c r="J221" s="10">
        <v>7</v>
      </c>
      <c r="K221" s="10">
        <v>43</v>
      </c>
      <c r="L221" s="10">
        <v>9.2200000000000006</v>
      </c>
      <c r="M221" s="12">
        <v>21</v>
      </c>
      <c r="N221" s="12">
        <v>32</v>
      </c>
      <c r="O221" s="12">
        <v>27.4</v>
      </c>
      <c r="P221" s="13">
        <f t="shared" si="14"/>
        <v>27789.22</v>
      </c>
      <c r="Q221" s="14">
        <f t="shared" si="15"/>
        <v>21.540944444444445</v>
      </c>
    </row>
    <row r="222" spans="1:17" x14ac:dyDescent="0.25">
      <c r="A222" s="9" t="s">
        <v>232</v>
      </c>
      <c r="B222" s="10">
        <v>3</v>
      </c>
      <c r="C222" s="10">
        <v>20</v>
      </c>
      <c r="D222" s="11">
        <v>55.3</v>
      </c>
      <c r="E222" s="12">
        <v>16</v>
      </c>
      <c r="F222" s="12">
        <v>45</v>
      </c>
      <c r="G222" s="12">
        <v>5.0999999999999996</v>
      </c>
      <c r="H222" s="13">
        <f t="shared" si="12"/>
        <v>12055.3</v>
      </c>
      <c r="I222" s="14">
        <f t="shared" si="13"/>
        <v>16.751416666666668</v>
      </c>
      <c r="J222" s="10">
        <v>7</v>
      </c>
      <c r="K222" s="10">
        <v>48</v>
      </c>
      <c r="L222" s="10">
        <v>20.59</v>
      </c>
      <c r="M222" s="12">
        <v>21</v>
      </c>
      <c r="N222" s="12">
        <v>22</v>
      </c>
      <c r="O222" s="12">
        <v>0.7</v>
      </c>
      <c r="P222" s="13">
        <f t="shared" si="14"/>
        <v>28100.59</v>
      </c>
      <c r="Q222" s="14">
        <f t="shared" si="15"/>
        <v>21.366861111111113</v>
      </c>
    </row>
    <row r="223" spans="1:17" x14ac:dyDescent="0.25">
      <c r="A223" s="9" t="s">
        <v>233</v>
      </c>
      <c r="B223" s="10">
        <v>3</v>
      </c>
      <c r="C223" s="10">
        <v>23</v>
      </c>
      <c r="D223" s="11">
        <v>26.08</v>
      </c>
      <c r="E223" s="12">
        <v>16</v>
      </c>
      <c r="F223" s="12">
        <v>55</v>
      </c>
      <c r="G223" s="12">
        <v>7.4</v>
      </c>
      <c r="H223" s="13">
        <f t="shared" si="12"/>
        <v>12206.08</v>
      </c>
      <c r="I223" s="14">
        <f t="shared" si="13"/>
        <v>16.918722222222222</v>
      </c>
      <c r="J223" s="10">
        <v>7</v>
      </c>
      <c r="K223" s="10">
        <v>53</v>
      </c>
      <c r="L223" s="10">
        <v>31.33</v>
      </c>
      <c r="M223" s="12">
        <v>21</v>
      </c>
      <c r="N223" s="12">
        <v>10</v>
      </c>
      <c r="O223" s="12">
        <v>56.9</v>
      </c>
      <c r="P223" s="13">
        <f t="shared" si="14"/>
        <v>28411.33</v>
      </c>
      <c r="Q223" s="14">
        <f t="shared" si="15"/>
        <v>21.182472222222223</v>
      </c>
    </row>
    <row r="224" spans="1:17" x14ac:dyDescent="0.25">
      <c r="A224" s="9" t="s">
        <v>234</v>
      </c>
      <c r="B224" s="10">
        <v>3</v>
      </c>
      <c r="C224" s="10">
        <v>25</v>
      </c>
      <c r="D224" s="11">
        <v>56.4</v>
      </c>
      <c r="E224" s="12">
        <v>17</v>
      </c>
      <c r="F224" s="12">
        <v>5</v>
      </c>
      <c r="G224" s="12">
        <v>0.4</v>
      </c>
      <c r="H224" s="13">
        <f t="shared" si="12"/>
        <v>12356.4</v>
      </c>
      <c r="I224" s="14">
        <f t="shared" si="13"/>
        <v>17.083444444444446</v>
      </c>
      <c r="J224" s="10">
        <v>7</v>
      </c>
      <c r="K224" s="10">
        <v>58</v>
      </c>
      <c r="L224" s="10">
        <v>41.41</v>
      </c>
      <c r="M224" s="12">
        <v>20</v>
      </c>
      <c r="N224" s="12">
        <v>59</v>
      </c>
      <c r="O224" s="12">
        <v>16.2</v>
      </c>
      <c r="P224" s="13">
        <f t="shared" si="14"/>
        <v>28721.41</v>
      </c>
      <c r="Q224" s="14">
        <f t="shared" si="15"/>
        <v>20.987833333333334</v>
      </c>
    </row>
    <row r="225" spans="1:17" x14ac:dyDescent="0.25">
      <c r="A225" s="9" t="s">
        <v>235</v>
      </c>
      <c r="B225" s="10">
        <v>3</v>
      </c>
      <c r="C225" s="10">
        <v>28</v>
      </c>
      <c r="D225" s="11">
        <v>26.26</v>
      </c>
      <c r="E225" s="12">
        <v>17</v>
      </c>
      <c r="F225" s="12">
        <v>14</v>
      </c>
      <c r="G225" s="12">
        <v>44.1</v>
      </c>
      <c r="H225" s="13">
        <f t="shared" si="12"/>
        <v>12506.26</v>
      </c>
      <c r="I225" s="14">
        <f t="shared" si="13"/>
        <v>17.245583333333332</v>
      </c>
      <c r="J225" s="10">
        <v>8</v>
      </c>
      <c r="K225" s="10">
        <v>3</v>
      </c>
      <c r="L225" s="10">
        <v>50.81</v>
      </c>
      <c r="M225" s="12">
        <v>20</v>
      </c>
      <c r="N225" s="12">
        <v>46</v>
      </c>
      <c r="O225" s="12">
        <v>59</v>
      </c>
      <c r="P225" s="13">
        <f t="shared" si="14"/>
        <v>29030.81</v>
      </c>
      <c r="Q225" s="14">
        <f t="shared" si="15"/>
        <v>20.783055555555556</v>
      </c>
    </row>
    <row r="226" spans="1:17" x14ac:dyDescent="0.25">
      <c r="A226" s="9" t="s">
        <v>236</v>
      </c>
      <c r="B226" s="10">
        <v>3</v>
      </c>
      <c r="C226" s="10">
        <v>30</v>
      </c>
      <c r="D226" s="11">
        <v>55.63</v>
      </c>
      <c r="E226" s="12">
        <v>17</v>
      </c>
      <c r="F226" s="12">
        <v>24</v>
      </c>
      <c r="G226" s="12">
        <v>18.600000000000001</v>
      </c>
      <c r="H226" s="13">
        <f t="shared" si="12"/>
        <v>12655.63</v>
      </c>
      <c r="I226" s="14">
        <f t="shared" si="13"/>
        <v>17.405166666666666</v>
      </c>
      <c r="J226" s="10">
        <v>8</v>
      </c>
      <c r="K226" s="10">
        <v>8</v>
      </c>
      <c r="L226" s="10">
        <v>59.49</v>
      </c>
      <c r="M226" s="12">
        <v>20</v>
      </c>
      <c r="N226" s="12">
        <v>34</v>
      </c>
      <c r="O226" s="12">
        <v>5.8</v>
      </c>
      <c r="P226" s="13">
        <f t="shared" si="14"/>
        <v>29339.49</v>
      </c>
      <c r="Q226" s="14">
        <f t="shared" si="15"/>
        <v>20.568277777777777</v>
      </c>
    </row>
    <row r="227" spans="1:17" x14ac:dyDescent="0.25">
      <c r="A227" s="9" t="s">
        <v>237</v>
      </c>
      <c r="B227" s="10">
        <v>3</v>
      </c>
      <c r="C227" s="10">
        <v>33</v>
      </c>
      <c r="D227" s="11">
        <v>24.51</v>
      </c>
      <c r="E227" s="12">
        <v>17</v>
      </c>
      <c r="F227" s="12">
        <v>33</v>
      </c>
      <c r="G227" s="12">
        <v>43.8</v>
      </c>
      <c r="H227" s="13">
        <f t="shared" si="12"/>
        <v>12804.51</v>
      </c>
      <c r="I227" s="14">
        <f t="shared" si="13"/>
        <v>17.562166666666666</v>
      </c>
      <c r="J227" s="10">
        <v>8</v>
      </c>
      <c r="K227" s="10">
        <v>14</v>
      </c>
      <c r="L227" s="10">
        <v>7.42</v>
      </c>
      <c r="M227" s="12">
        <v>20</v>
      </c>
      <c r="N227" s="12">
        <v>20</v>
      </c>
      <c r="O227" s="12">
        <v>36.9</v>
      </c>
      <c r="P227" s="13">
        <f t="shared" si="14"/>
        <v>29647.42</v>
      </c>
      <c r="Q227" s="14">
        <f t="shared" si="15"/>
        <v>20.343583333333331</v>
      </c>
    </row>
    <row r="228" spans="1:17" x14ac:dyDescent="0.25">
      <c r="A228" s="9" t="s">
        <v>238</v>
      </c>
      <c r="B228" s="10">
        <v>3</v>
      </c>
      <c r="C228" s="10">
        <v>35</v>
      </c>
      <c r="D228" s="11">
        <v>52.86</v>
      </c>
      <c r="E228" s="12">
        <v>17</v>
      </c>
      <c r="F228" s="12">
        <v>42</v>
      </c>
      <c r="G228" s="12">
        <v>59.8</v>
      </c>
      <c r="H228" s="13">
        <f t="shared" si="12"/>
        <v>12952.86</v>
      </c>
      <c r="I228" s="14">
        <f t="shared" si="13"/>
        <v>17.71661111111111</v>
      </c>
      <c r="J228" s="10">
        <v>8</v>
      </c>
      <c r="K228" s="10">
        <v>19</v>
      </c>
      <c r="L228" s="10">
        <v>14.59</v>
      </c>
      <c r="M228" s="12">
        <v>20</v>
      </c>
      <c r="N228" s="12">
        <v>6</v>
      </c>
      <c r="O228" s="12">
        <v>32.799999999999997</v>
      </c>
      <c r="P228" s="13">
        <f t="shared" si="14"/>
        <v>29954.59</v>
      </c>
      <c r="Q228" s="14">
        <f t="shared" si="15"/>
        <v>20.109111111111112</v>
      </c>
    </row>
    <row r="229" spans="1:17" x14ac:dyDescent="0.25">
      <c r="A229" s="9" t="s">
        <v>239</v>
      </c>
      <c r="B229" s="10">
        <v>3</v>
      </c>
      <c r="C229" s="10">
        <v>38</v>
      </c>
      <c r="D229" s="11">
        <v>20.69</v>
      </c>
      <c r="E229" s="12">
        <v>17</v>
      </c>
      <c r="F229" s="12">
        <v>52</v>
      </c>
      <c r="G229" s="12">
        <v>6.5</v>
      </c>
      <c r="H229" s="13">
        <f t="shared" si="12"/>
        <v>13100.69</v>
      </c>
      <c r="I229" s="14">
        <f t="shared" si="13"/>
        <v>17.868472222222223</v>
      </c>
      <c r="J229" s="10">
        <v>8</v>
      </c>
      <c r="K229" s="10">
        <v>24</v>
      </c>
      <c r="L229" s="10">
        <v>20.96</v>
      </c>
      <c r="M229" s="12">
        <v>19</v>
      </c>
      <c r="N229" s="12">
        <v>51</v>
      </c>
      <c r="O229" s="12">
        <v>53.9</v>
      </c>
      <c r="P229" s="13">
        <f t="shared" si="14"/>
        <v>30260.959999999999</v>
      </c>
      <c r="Q229" s="14">
        <f t="shared" si="15"/>
        <v>19.864972222222224</v>
      </c>
    </row>
    <row r="230" spans="1:17" x14ac:dyDescent="0.25">
      <c r="A230" s="9" t="s">
        <v>240</v>
      </c>
      <c r="B230" s="10">
        <v>3</v>
      </c>
      <c r="C230" s="10">
        <v>40</v>
      </c>
      <c r="D230" s="11">
        <v>47.95</v>
      </c>
      <c r="E230" s="12">
        <v>18</v>
      </c>
      <c r="F230" s="12">
        <v>1</v>
      </c>
      <c r="G230" s="12">
        <v>3.8</v>
      </c>
      <c r="H230" s="13">
        <f t="shared" si="12"/>
        <v>13247.95</v>
      </c>
      <c r="I230" s="14">
        <f t="shared" si="13"/>
        <v>18.017722222222222</v>
      </c>
      <c r="J230" s="10">
        <v>8</v>
      </c>
      <c r="K230" s="10">
        <v>29</v>
      </c>
      <c r="L230" s="10">
        <v>26.51</v>
      </c>
      <c r="M230" s="12">
        <v>19</v>
      </c>
      <c r="N230" s="12">
        <v>36</v>
      </c>
      <c r="O230" s="12">
        <v>40.700000000000003</v>
      </c>
      <c r="P230" s="13">
        <f t="shared" si="14"/>
        <v>30566.51</v>
      </c>
      <c r="Q230" s="14">
        <f t="shared" si="15"/>
        <v>19.611305555555557</v>
      </c>
    </row>
    <row r="231" spans="1:17" x14ac:dyDescent="0.25">
      <c r="A231" s="9" t="s">
        <v>241</v>
      </c>
      <c r="B231" s="10">
        <v>3</v>
      </c>
      <c r="C231" s="10">
        <v>43</v>
      </c>
      <c r="D231" s="11">
        <v>14.63</v>
      </c>
      <c r="E231" s="12">
        <v>18</v>
      </c>
      <c r="F231" s="12">
        <v>9</v>
      </c>
      <c r="G231" s="12">
        <v>51.9</v>
      </c>
      <c r="H231" s="13">
        <f t="shared" si="12"/>
        <v>13394.63</v>
      </c>
      <c r="I231" s="14">
        <f t="shared" si="13"/>
        <v>18.164416666666668</v>
      </c>
      <c r="J231" s="10">
        <v>8</v>
      </c>
      <c r="K231" s="10">
        <v>34</v>
      </c>
      <c r="L231" s="10">
        <v>31.22</v>
      </c>
      <c r="M231" s="12">
        <v>19</v>
      </c>
      <c r="N231" s="12">
        <v>20</v>
      </c>
      <c r="O231" s="12">
        <v>53.6</v>
      </c>
      <c r="P231" s="13">
        <f t="shared" si="14"/>
        <v>30871.22</v>
      </c>
      <c r="Q231" s="14">
        <f t="shared" si="15"/>
        <v>19.348222222222223</v>
      </c>
    </row>
    <row r="232" spans="1:17" x14ac:dyDescent="0.25">
      <c r="A232" s="9" t="s">
        <v>242</v>
      </c>
      <c r="B232" s="10">
        <v>3</v>
      </c>
      <c r="C232" s="10">
        <v>45</v>
      </c>
      <c r="D232" s="11">
        <v>40.700000000000003</v>
      </c>
      <c r="E232" s="12">
        <v>18</v>
      </c>
      <c r="F232" s="12">
        <v>18</v>
      </c>
      <c r="G232" s="12">
        <v>30.8</v>
      </c>
      <c r="H232" s="13">
        <f t="shared" si="12"/>
        <v>13540.7</v>
      </c>
      <c r="I232" s="14">
        <f t="shared" si="13"/>
        <v>18.308555555555557</v>
      </c>
      <c r="J232" s="10">
        <v>8</v>
      </c>
      <c r="K232" s="10">
        <v>39</v>
      </c>
      <c r="L232" s="10">
        <v>35.07</v>
      </c>
      <c r="M232" s="12">
        <v>19</v>
      </c>
      <c r="N232" s="12">
        <v>4</v>
      </c>
      <c r="O232" s="12">
        <v>33.200000000000003</v>
      </c>
      <c r="P232" s="13">
        <f t="shared" si="14"/>
        <v>31175.07</v>
      </c>
      <c r="Q232" s="14">
        <f t="shared" si="15"/>
        <v>19.075888888888887</v>
      </c>
    </row>
    <row r="233" spans="1:17" x14ac:dyDescent="0.25">
      <c r="A233" s="9" t="s">
        <v>243</v>
      </c>
      <c r="B233" s="10">
        <v>3</v>
      </c>
      <c r="C233" s="10">
        <v>48</v>
      </c>
      <c r="D233" s="11">
        <v>6.14</v>
      </c>
      <c r="E233" s="12">
        <v>18</v>
      </c>
      <c r="F233" s="12">
        <v>27</v>
      </c>
      <c r="G233" s="12">
        <v>0.3</v>
      </c>
      <c r="H233" s="13">
        <f t="shared" si="12"/>
        <v>13686.14</v>
      </c>
      <c r="I233" s="14">
        <f t="shared" si="13"/>
        <v>18.450083333333332</v>
      </c>
      <c r="J233" s="10">
        <v>8</v>
      </c>
      <c r="K233" s="10">
        <v>44</v>
      </c>
      <c r="L233" s="10">
        <v>38.04</v>
      </c>
      <c r="M233" s="12">
        <v>18</v>
      </c>
      <c r="N233" s="12">
        <v>47</v>
      </c>
      <c r="O233" s="12">
        <v>40</v>
      </c>
      <c r="P233" s="13">
        <f t="shared" si="14"/>
        <v>31478.04</v>
      </c>
      <c r="Q233" s="14">
        <f t="shared" si="15"/>
        <v>18.794444444444448</v>
      </c>
    </row>
    <row r="234" spans="1:17" x14ac:dyDescent="0.25">
      <c r="A234" s="9" t="s">
        <v>244</v>
      </c>
      <c r="B234" s="10">
        <v>3</v>
      </c>
      <c r="C234" s="10">
        <v>50</v>
      </c>
      <c r="D234" s="11">
        <v>30.93</v>
      </c>
      <c r="E234" s="12">
        <v>18</v>
      </c>
      <c r="F234" s="12">
        <v>35</v>
      </c>
      <c r="G234" s="12">
        <v>20.6</v>
      </c>
      <c r="H234" s="13">
        <f t="shared" si="12"/>
        <v>13830.93</v>
      </c>
      <c r="I234" s="14">
        <f t="shared" si="13"/>
        <v>18.589055555555557</v>
      </c>
      <c r="J234" s="10">
        <v>8</v>
      </c>
      <c r="K234" s="10">
        <v>49</v>
      </c>
      <c r="L234" s="10">
        <v>40.119999999999997</v>
      </c>
      <c r="M234" s="12">
        <v>18</v>
      </c>
      <c r="N234" s="12">
        <v>30</v>
      </c>
      <c r="O234" s="12">
        <v>14.5</v>
      </c>
      <c r="P234" s="13">
        <f t="shared" si="14"/>
        <v>31780.12</v>
      </c>
      <c r="Q234" s="14">
        <f t="shared" si="15"/>
        <v>18.504027777777779</v>
      </c>
    </row>
    <row r="235" spans="1:17" x14ac:dyDescent="0.25">
      <c r="A235" s="9" t="s">
        <v>245</v>
      </c>
      <c r="B235" s="10">
        <v>3</v>
      </c>
      <c r="C235" s="10">
        <v>52</v>
      </c>
      <c r="D235" s="11">
        <v>55.03</v>
      </c>
      <c r="E235" s="12">
        <v>18</v>
      </c>
      <c r="F235" s="12">
        <v>43</v>
      </c>
      <c r="G235" s="12">
        <v>31.6</v>
      </c>
      <c r="H235" s="13">
        <f t="shared" si="12"/>
        <v>13975.03</v>
      </c>
      <c r="I235" s="14">
        <f t="shared" si="13"/>
        <v>18.725444444444445</v>
      </c>
      <c r="J235" s="10">
        <v>8</v>
      </c>
      <c r="K235" s="10">
        <v>54</v>
      </c>
      <c r="L235" s="10">
        <v>41.28</v>
      </c>
      <c r="M235" s="12">
        <v>18</v>
      </c>
      <c r="N235" s="12">
        <v>12</v>
      </c>
      <c r="O235" s="12">
        <v>17.2</v>
      </c>
      <c r="P235" s="13">
        <f t="shared" si="14"/>
        <v>32081.279999999999</v>
      </c>
      <c r="Q235" s="14">
        <f t="shared" si="15"/>
        <v>18.204777777777778</v>
      </c>
    </row>
    <row r="236" spans="1:17" x14ac:dyDescent="0.25">
      <c r="A236" s="9" t="s">
        <v>246</v>
      </c>
      <c r="B236" s="10">
        <v>3</v>
      </c>
      <c r="C236" s="10">
        <v>55</v>
      </c>
      <c r="D236" s="11">
        <v>18.420000000000002</v>
      </c>
      <c r="E236" s="12">
        <v>18</v>
      </c>
      <c r="F236" s="12">
        <v>51</v>
      </c>
      <c r="G236" s="12">
        <v>33.299999999999997</v>
      </c>
      <c r="H236" s="13">
        <f t="shared" si="12"/>
        <v>14118.42</v>
      </c>
      <c r="I236" s="14">
        <f t="shared" si="13"/>
        <v>18.859249999999999</v>
      </c>
      <c r="J236" s="10">
        <v>8</v>
      </c>
      <c r="K236" s="10">
        <v>59</v>
      </c>
      <c r="L236" s="10">
        <v>41.53</v>
      </c>
      <c r="M236" s="12">
        <v>17</v>
      </c>
      <c r="N236" s="12">
        <v>53</v>
      </c>
      <c r="O236" s="12">
        <v>48.8</v>
      </c>
      <c r="P236" s="13">
        <f t="shared" si="14"/>
        <v>32381.53</v>
      </c>
      <c r="Q236" s="14">
        <f t="shared" si="15"/>
        <v>17.896888888888888</v>
      </c>
    </row>
    <row r="237" spans="1:17" x14ac:dyDescent="0.25">
      <c r="A237" s="9" t="s">
        <v>247</v>
      </c>
      <c r="B237" s="10">
        <v>3</v>
      </c>
      <c r="C237" s="10">
        <v>57</v>
      </c>
      <c r="D237" s="11">
        <v>41.08</v>
      </c>
      <c r="E237" s="12">
        <v>18</v>
      </c>
      <c r="F237" s="12">
        <v>59</v>
      </c>
      <c r="G237" s="12">
        <v>25.9</v>
      </c>
      <c r="H237" s="13">
        <f t="shared" si="12"/>
        <v>14261.08</v>
      </c>
      <c r="I237" s="14">
        <f t="shared" si="13"/>
        <v>18.990527777777778</v>
      </c>
      <c r="J237" s="10">
        <v>9</v>
      </c>
      <c r="K237" s="10">
        <v>4</v>
      </c>
      <c r="L237" s="10">
        <v>40.840000000000003</v>
      </c>
      <c r="M237" s="12">
        <v>17</v>
      </c>
      <c r="N237" s="12">
        <v>34</v>
      </c>
      <c r="O237" s="12">
        <v>49.9</v>
      </c>
      <c r="P237" s="13">
        <f t="shared" si="14"/>
        <v>32680.84</v>
      </c>
      <c r="Q237" s="14">
        <f t="shared" si="15"/>
        <v>17.580527777777778</v>
      </c>
    </row>
    <row r="238" spans="1:17" x14ac:dyDescent="0.25">
      <c r="A238" s="9" t="s">
        <v>248</v>
      </c>
      <c r="B238" s="10">
        <v>4</v>
      </c>
      <c r="C238" s="10">
        <v>0</v>
      </c>
      <c r="D238" s="11">
        <v>2.98</v>
      </c>
      <c r="E238" s="12">
        <v>19</v>
      </c>
      <c r="F238" s="12">
        <v>7</v>
      </c>
      <c r="G238" s="12">
        <v>9.3000000000000007</v>
      </c>
      <c r="H238" s="13">
        <f t="shared" si="12"/>
        <v>14402.98</v>
      </c>
      <c r="I238" s="14">
        <f t="shared" si="13"/>
        <v>19.119250000000001</v>
      </c>
      <c r="J238" s="10">
        <v>9</v>
      </c>
      <c r="K238" s="10">
        <v>9</v>
      </c>
      <c r="L238" s="10">
        <v>39.200000000000003</v>
      </c>
      <c r="M238" s="12">
        <v>17</v>
      </c>
      <c r="N238" s="12">
        <v>15</v>
      </c>
      <c r="O238" s="12">
        <v>21</v>
      </c>
      <c r="P238" s="13">
        <f t="shared" si="14"/>
        <v>32979.199999999997</v>
      </c>
      <c r="Q238" s="14">
        <f t="shared" si="15"/>
        <v>17.255833333333332</v>
      </c>
    </row>
    <row r="239" spans="1:17" x14ac:dyDescent="0.25">
      <c r="A239" s="9" t="s">
        <v>249</v>
      </c>
      <c r="B239" s="10">
        <v>4</v>
      </c>
      <c r="C239" s="10">
        <v>2</v>
      </c>
      <c r="D239" s="11">
        <v>24.09</v>
      </c>
      <c r="E239" s="12">
        <v>19</v>
      </c>
      <c r="F239" s="12">
        <v>14</v>
      </c>
      <c r="G239" s="12">
        <v>43.6</v>
      </c>
      <c r="H239" s="13">
        <f t="shared" si="12"/>
        <v>14544.09</v>
      </c>
      <c r="I239" s="14">
        <f t="shared" si="13"/>
        <v>19.245444444444445</v>
      </c>
      <c r="J239" s="10">
        <v>9</v>
      </c>
      <c r="K239" s="10">
        <v>14</v>
      </c>
      <c r="L239" s="10">
        <v>36.619999999999997</v>
      </c>
      <c r="M239" s="12">
        <v>16</v>
      </c>
      <c r="N239" s="12">
        <v>55</v>
      </c>
      <c r="O239" s="12">
        <v>22.7</v>
      </c>
      <c r="P239" s="13">
        <f t="shared" si="14"/>
        <v>33276.620000000003</v>
      </c>
      <c r="Q239" s="14">
        <f t="shared" si="15"/>
        <v>16.922972222222224</v>
      </c>
    </row>
    <row r="240" spans="1:17" x14ac:dyDescent="0.25">
      <c r="A240" s="9" t="s">
        <v>250</v>
      </c>
      <c r="B240" s="10">
        <v>4</v>
      </c>
      <c r="C240" s="10">
        <v>4</v>
      </c>
      <c r="D240" s="11">
        <v>44.38</v>
      </c>
      <c r="E240" s="12">
        <v>19</v>
      </c>
      <c r="F240" s="12">
        <v>22</v>
      </c>
      <c r="G240" s="12">
        <v>8.8000000000000007</v>
      </c>
      <c r="H240" s="13">
        <f t="shared" si="12"/>
        <v>14684.38</v>
      </c>
      <c r="I240" s="14">
        <f t="shared" si="13"/>
        <v>19.36911111111111</v>
      </c>
      <c r="J240" s="10">
        <v>9</v>
      </c>
      <c r="K240" s="10">
        <v>19</v>
      </c>
      <c r="L240" s="10">
        <v>33.08</v>
      </c>
      <c r="M240" s="12">
        <v>16</v>
      </c>
      <c r="N240" s="12">
        <v>34</v>
      </c>
      <c r="O240" s="12">
        <v>55.7</v>
      </c>
      <c r="P240" s="13">
        <f t="shared" si="14"/>
        <v>33573.08</v>
      </c>
      <c r="Q240" s="14">
        <f t="shared" si="15"/>
        <v>16.582138888888888</v>
      </c>
    </row>
    <row r="241" spans="1:17" x14ac:dyDescent="0.25">
      <c r="A241" s="9" t="s">
        <v>251</v>
      </c>
      <c r="B241" s="10">
        <v>4</v>
      </c>
      <c r="C241" s="10">
        <v>7</v>
      </c>
      <c r="D241" s="11">
        <v>3.82</v>
      </c>
      <c r="E241" s="12">
        <v>19</v>
      </c>
      <c r="F241" s="12">
        <v>29</v>
      </c>
      <c r="G241" s="12">
        <v>25</v>
      </c>
      <c r="H241" s="13">
        <f t="shared" si="12"/>
        <v>14823.82</v>
      </c>
      <c r="I241" s="14">
        <f t="shared" si="13"/>
        <v>19.490277777777777</v>
      </c>
      <c r="J241" s="10">
        <v>9</v>
      </c>
      <c r="K241" s="10">
        <v>24</v>
      </c>
      <c r="L241" s="10">
        <v>28.58</v>
      </c>
      <c r="M241" s="12">
        <v>16</v>
      </c>
      <c r="N241" s="12">
        <v>14</v>
      </c>
      <c r="O241" s="12">
        <v>0.6</v>
      </c>
      <c r="P241" s="13">
        <f t="shared" si="14"/>
        <v>33868.58</v>
      </c>
      <c r="Q241" s="14">
        <f t="shared" si="15"/>
        <v>16.233499999999999</v>
      </c>
    </row>
    <row r="242" spans="1:17" x14ac:dyDescent="0.25">
      <c r="A242" s="9" t="s">
        <v>252</v>
      </c>
      <c r="B242" s="10">
        <v>4</v>
      </c>
      <c r="C242" s="10">
        <v>9</v>
      </c>
      <c r="D242" s="11">
        <v>22.4</v>
      </c>
      <c r="E242" s="12">
        <v>19</v>
      </c>
      <c r="F242" s="12">
        <v>36</v>
      </c>
      <c r="G242" s="12">
        <v>32.299999999999997</v>
      </c>
      <c r="H242" s="13">
        <f t="shared" si="12"/>
        <v>14962.4</v>
      </c>
      <c r="I242" s="14">
        <f t="shared" si="13"/>
        <v>19.608972222222221</v>
      </c>
      <c r="J242" s="10">
        <v>9</v>
      </c>
      <c r="K242" s="10">
        <v>29</v>
      </c>
      <c r="L242" s="10">
        <v>23.12</v>
      </c>
      <c r="M242" s="12">
        <v>15</v>
      </c>
      <c r="N242" s="12">
        <v>52</v>
      </c>
      <c r="O242" s="12">
        <v>38.1</v>
      </c>
      <c r="P242" s="13">
        <f t="shared" si="14"/>
        <v>34163.120000000003</v>
      </c>
      <c r="Q242" s="14">
        <f t="shared" si="15"/>
        <v>15.87725</v>
      </c>
    </row>
    <row r="243" spans="1:17" x14ac:dyDescent="0.25">
      <c r="A243" s="9" t="s">
        <v>253</v>
      </c>
      <c r="B243" s="10">
        <v>4</v>
      </c>
      <c r="C243" s="10">
        <v>11</v>
      </c>
      <c r="D243" s="11">
        <v>40.08</v>
      </c>
      <c r="E243" s="12">
        <v>19</v>
      </c>
      <c r="F243" s="12">
        <v>43</v>
      </c>
      <c r="G243" s="12">
        <v>30.7</v>
      </c>
      <c r="H243" s="13">
        <f t="shared" si="12"/>
        <v>15100.08</v>
      </c>
      <c r="I243" s="14">
        <f t="shared" si="13"/>
        <v>19.725194444444444</v>
      </c>
      <c r="J243" s="10">
        <v>9</v>
      </c>
      <c r="K243" s="10">
        <v>34</v>
      </c>
      <c r="L243" s="10">
        <v>16.71</v>
      </c>
      <c r="M243" s="12">
        <v>15</v>
      </c>
      <c r="N243" s="12">
        <v>30</v>
      </c>
      <c r="O243" s="12">
        <v>48.7</v>
      </c>
      <c r="P243" s="13">
        <f t="shared" si="14"/>
        <v>34456.71</v>
      </c>
      <c r="Q243" s="14">
        <f t="shared" si="15"/>
        <v>15.513527777777778</v>
      </c>
    </row>
    <row r="244" spans="1:17" x14ac:dyDescent="0.25">
      <c r="A244" s="9" t="s">
        <v>254</v>
      </c>
      <c r="B244" s="10">
        <v>4</v>
      </c>
      <c r="C244" s="10">
        <v>13</v>
      </c>
      <c r="D244" s="11">
        <v>56.83</v>
      </c>
      <c r="E244" s="12">
        <v>19</v>
      </c>
      <c r="F244" s="12">
        <v>50</v>
      </c>
      <c r="G244" s="12">
        <v>20.3</v>
      </c>
      <c r="H244" s="13">
        <f t="shared" si="12"/>
        <v>15236.83</v>
      </c>
      <c r="I244" s="14">
        <f t="shared" si="13"/>
        <v>19.838972222222221</v>
      </c>
      <c r="J244" s="10">
        <v>9</v>
      </c>
      <c r="K244" s="10">
        <v>39</v>
      </c>
      <c r="L244" s="10">
        <v>9.35</v>
      </c>
      <c r="M244" s="12">
        <v>15</v>
      </c>
      <c r="N244" s="12">
        <v>8</v>
      </c>
      <c r="O244" s="12">
        <v>33.299999999999997</v>
      </c>
      <c r="P244" s="13">
        <f t="shared" si="14"/>
        <v>34749.35</v>
      </c>
      <c r="Q244" s="14">
        <f t="shared" si="15"/>
        <v>15.142583333333333</v>
      </c>
    </row>
    <row r="245" spans="1:17" x14ac:dyDescent="0.25">
      <c r="A245" s="9" t="s">
        <v>255</v>
      </c>
      <c r="B245" s="10">
        <v>4</v>
      </c>
      <c r="C245" s="10">
        <v>16</v>
      </c>
      <c r="D245" s="11">
        <v>12.63</v>
      </c>
      <c r="E245" s="12">
        <v>19</v>
      </c>
      <c r="F245" s="12">
        <v>57</v>
      </c>
      <c r="G245" s="12">
        <v>1.2</v>
      </c>
      <c r="H245" s="13">
        <f t="shared" si="12"/>
        <v>15372.63</v>
      </c>
      <c r="I245" s="14">
        <f t="shared" si="13"/>
        <v>19.950333333333333</v>
      </c>
      <c r="J245" s="10">
        <v>9</v>
      </c>
      <c r="K245" s="10">
        <v>44</v>
      </c>
      <c r="L245" s="10">
        <v>1.03</v>
      </c>
      <c r="M245" s="12">
        <v>14</v>
      </c>
      <c r="N245" s="12">
        <v>45</v>
      </c>
      <c r="O245" s="12">
        <v>52.4</v>
      </c>
      <c r="P245" s="13">
        <f t="shared" si="14"/>
        <v>35041.03</v>
      </c>
      <c r="Q245" s="14">
        <f t="shared" si="15"/>
        <v>14.764555555555555</v>
      </c>
    </row>
    <row r="246" spans="1:17" x14ac:dyDescent="0.25">
      <c r="A246" s="9" t="s">
        <v>256</v>
      </c>
      <c r="B246" s="10">
        <v>4</v>
      </c>
      <c r="C246" s="10">
        <v>18</v>
      </c>
      <c r="D246" s="11">
        <v>27.45</v>
      </c>
      <c r="E246" s="12">
        <v>20</v>
      </c>
      <c r="F246" s="12">
        <v>3</v>
      </c>
      <c r="G246" s="12">
        <v>33.5</v>
      </c>
      <c r="H246" s="13">
        <f t="shared" si="12"/>
        <v>15507.45</v>
      </c>
      <c r="I246" s="14">
        <f t="shared" si="13"/>
        <v>20.059305555555557</v>
      </c>
      <c r="J246" s="10">
        <v>9</v>
      </c>
      <c r="K246" s="10">
        <v>48</v>
      </c>
      <c r="L246" s="10">
        <v>51.78</v>
      </c>
      <c r="M246" s="12">
        <v>14</v>
      </c>
      <c r="N246" s="12">
        <v>22</v>
      </c>
      <c r="O246" s="12">
        <v>46.7</v>
      </c>
      <c r="P246" s="13">
        <f t="shared" si="14"/>
        <v>35331.78</v>
      </c>
      <c r="Q246" s="14">
        <f t="shared" si="15"/>
        <v>14.37963888888889</v>
      </c>
    </row>
    <row r="247" spans="1:17" x14ac:dyDescent="0.25">
      <c r="A247" s="9" t="s">
        <v>257</v>
      </c>
      <c r="B247" s="10">
        <v>4</v>
      </c>
      <c r="C247" s="10">
        <v>20</v>
      </c>
      <c r="D247" s="11">
        <v>41.27</v>
      </c>
      <c r="E247" s="12">
        <v>20</v>
      </c>
      <c r="F247" s="12">
        <v>9</v>
      </c>
      <c r="G247" s="12">
        <v>57.4</v>
      </c>
      <c r="H247" s="13">
        <f t="shared" si="12"/>
        <v>15641.27</v>
      </c>
      <c r="I247" s="14">
        <f t="shared" si="13"/>
        <v>20.165944444444445</v>
      </c>
      <c r="J247" s="10">
        <v>9</v>
      </c>
      <c r="K247" s="10">
        <v>53</v>
      </c>
      <c r="L247" s="10">
        <v>41.6</v>
      </c>
      <c r="M247" s="12">
        <v>13</v>
      </c>
      <c r="N247" s="12">
        <v>59</v>
      </c>
      <c r="O247" s="12">
        <v>16.899999999999999</v>
      </c>
      <c r="P247" s="13">
        <f t="shared" si="14"/>
        <v>35621.599999999999</v>
      </c>
      <c r="Q247" s="14">
        <f t="shared" si="15"/>
        <v>13.988027777777777</v>
      </c>
    </row>
    <row r="248" spans="1:17" x14ac:dyDescent="0.25">
      <c r="A248" s="9" t="s">
        <v>258</v>
      </c>
      <c r="B248" s="10">
        <v>4</v>
      </c>
      <c r="C248" s="10">
        <v>22</v>
      </c>
      <c r="D248" s="11">
        <v>54.06</v>
      </c>
      <c r="E248" s="12">
        <v>20</v>
      </c>
      <c r="F248" s="12">
        <v>16</v>
      </c>
      <c r="G248" s="12">
        <v>12.9</v>
      </c>
      <c r="H248" s="13">
        <f t="shared" si="12"/>
        <v>15774.06</v>
      </c>
      <c r="I248" s="14">
        <f t="shared" si="13"/>
        <v>20.270250000000001</v>
      </c>
      <c r="J248" s="10">
        <v>9</v>
      </c>
      <c r="K248" s="10">
        <v>58</v>
      </c>
      <c r="L248" s="10">
        <v>30.49</v>
      </c>
      <c r="M248" s="12">
        <v>13</v>
      </c>
      <c r="N248" s="12">
        <v>35</v>
      </c>
      <c r="O248" s="12">
        <v>23.8</v>
      </c>
      <c r="P248" s="13">
        <f t="shared" si="14"/>
        <v>35910.49</v>
      </c>
      <c r="Q248" s="14">
        <f t="shared" si="15"/>
        <v>13.589944444444445</v>
      </c>
    </row>
    <row r="249" spans="1:17" x14ac:dyDescent="0.25">
      <c r="A249" s="9" t="s">
        <v>259</v>
      </c>
      <c r="B249" s="10">
        <v>4</v>
      </c>
      <c r="C249" s="10">
        <v>25</v>
      </c>
      <c r="D249" s="11">
        <v>5.8</v>
      </c>
      <c r="E249" s="12">
        <v>20</v>
      </c>
      <c r="F249" s="12">
        <v>22</v>
      </c>
      <c r="G249" s="12">
        <v>20.100000000000001</v>
      </c>
      <c r="H249" s="13">
        <f t="shared" si="12"/>
        <v>15905.8</v>
      </c>
      <c r="I249" s="14">
        <f t="shared" si="13"/>
        <v>20.372250000000001</v>
      </c>
      <c r="J249" s="10">
        <v>10</v>
      </c>
      <c r="K249" s="10">
        <v>3</v>
      </c>
      <c r="L249" s="10">
        <v>18.489999999999998</v>
      </c>
      <c r="M249" s="12">
        <v>13</v>
      </c>
      <c r="N249" s="12">
        <v>11</v>
      </c>
      <c r="O249" s="12">
        <v>8</v>
      </c>
      <c r="P249" s="13">
        <f t="shared" si="14"/>
        <v>36198.49</v>
      </c>
      <c r="Q249" s="14">
        <f t="shared" si="15"/>
        <v>13.185555555555556</v>
      </c>
    </row>
    <row r="250" spans="1:17" x14ac:dyDescent="0.25">
      <c r="A250" s="9" t="s">
        <v>260</v>
      </c>
      <c r="B250" s="10">
        <v>4</v>
      </c>
      <c r="C250" s="10">
        <v>27</v>
      </c>
      <c r="D250" s="11">
        <v>16.46</v>
      </c>
      <c r="E250" s="12">
        <v>20</v>
      </c>
      <c r="F250" s="12">
        <v>28</v>
      </c>
      <c r="G250" s="12">
        <v>19.2</v>
      </c>
      <c r="H250" s="13">
        <f t="shared" si="12"/>
        <v>16036.46</v>
      </c>
      <c r="I250" s="14">
        <f t="shared" si="13"/>
        <v>20.472000000000001</v>
      </c>
      <c r="J250" s="10">
        <v>10</v>
      </c>
      <c r="K250" s="10">
        <v>8</v>
      </c>
      <c r="L250" s="10">
        <v>5.59</v>
      </c>
      <c r="M250" s="12">
        <v>12</v>
      </c>
      <c r="N250" s="12">
        <v>46</v>
      </c>
      <c r="O250" s="12">
        <v>30.1</v>
      </c>
      <c r="P250" s="13">
        <f t="shared" si="14"/>
        <v>36485.589999999997</v>
      </c>
      <c r="Q250" s="14">
        <f t="shared" si="15"/>
        <v>12.775027777777778</v>
      </c>
    </row>
    <row r="251" spans="1:17" x14ac:dyDescent="0.25">
      <c r="A251" s="9" t="s">
        <v>261</v>
      </c>
      <c r="B251" s="10">
        <v>4</v>
      </c>
      <c r="C251" s="10">
        <v>29</v>
      </c>
      <c r="D251" s="11">
        <v>26.01</v>
      </c>
      <c r="E251" s="12">
        <v>20</v>
      </c>
      <c r="F251" s="12">
        <v>34</v>
      </c>
      <c r="G251" s="12">
        <v>10.4</v>
      </c>
      <c r="H251" s="13">
        <f t="shared" si="12"/>
        <v>16166.01</v>
      </c>
      <c r="I251" s="14">
        <f t="shared" si="13"/>
        <v>20.569555555555556</v>
      </c>
      <c r="J251" s="10">
        <v>10</v>
      </c>
      <c r="K251" s="10">
        <v>12</v>
      </c>
      <c r="L251" s="10">
        <v>51.83</v>
      </c>
      <c r="M251" s="12">
        <v>12</v>
      </c>
      <c r="N251" s="12">
        <v>21</v>
      </c>
      <c r="O251" s="12">
        <v>30.9</v>
      </c>
      <c r="P251" s="13">
        <f t="shared" si="14"/>
        <v>36771.83</v>
      </c>
      <c r="Q251" s="14">
        <f t="shared" si="15"/>
        <v>12.358583333333334</v>
      </c>
    </row>
    <row r="252" spans="1:17" x14ac:dyDescent="0.25">
      <c r="A252" s="9" t="s">
        <v>262</v>
      </c>
      <c r="B252" s="10">
        <v>4</v>
      </c>
      <c r="C252" s="10">
        <v>31</v>
      </c>
      <c r="D252" s="11">
        <v>34.43</v>
      </c>
      <c r="E252" s="12">
        <v>20</v>
      </c>
      <c r="F252" s="12">
        <v>39</v>
      </c>
      <c r="G252" s="12">
        <v>53.7</v>
      </c>
      <c r="H252" s="13">
        <f t="shared" si="12"/>
        <v>16294.43</v>
      </c>
      <c r="I252" s="14">
        <f t="shared" si="13"/>
        <v>20.664916666666667</v>
      </c>
      <c r="J252" s="10">
        <v>10</v>
      </c>
      <c r="K252" s="10">
        <v>17</v>
      </c>
      <c r="L252" s="10">
        <v>37.22</v>
      </c>
      <c r="M252" s="12">
        <v>11</v>
      </c>
      <c r="N252" s="12">
        <v>56</v>
      </c>
      <c r="O252" s="12">
        <v>11.2</v>
      </c>
      <c r="P252" s="13">
        <f t="shared" si="14"/>
        <v>37057.22</v>
      </c>
      <c r="Q252" s="14">
        <f t="shared" si="15"/>
        <v>11.936444444444446</v>
      </c>
    </row>
    <row r="253" spans="1:17" x14ac:dyDescent="0.25">
      <c r="A253" s="9" t="s">
        <v>263</v>
      </c>
      <c r="B253" s="10">
        <v>4</v>
      </c>
      <c r="C253" s="10">
        <v>33</v>
      </c>
      <c r="D253" s="11">
        <v>41.7</v>
      </c>
      <c r="E253" s="12">
        <v>20</v>
      </c>
      <c r="F253" s="12">
        <v>45</v>
      </c>
      <c r="G253" s="12">
        <v>29.2</v>
      </c>
      <c r="H253" s="13">
        <f t="shared" si="12"/>
        <v>16421.7</v>
      </c>
      <c r="I253" s="14">
        <f t="shared" si="13"/>
        <v>20.758111111111113</v>
      </c>
      <c r="J253" s="10">
        <v>10</v>
      </c>
      <c r="K253" s="10">
        <v>22</v>
      </c>
      <c r="L253" s="10">
        <v>21.78</v>
      </c>
      <c r="M253" s="12">
        <v>11</v>
      </c>
      <c r="N253" s="12">
        <v>30</v>
      </c>
      <c r="O253" s="12">
        <v>31.4</v>
      </c>
      <c r="P253" s="13">
        <f t="shared" si="14"/>
        <v>37341.78</v>
      </c>
      <c r="Q253" s="14">
        <f t="shared" si="15"/>
        <v>11.508722222222222</v>
      </c>
    </row>
    <row r="254" spans="1:17" x14ac:dyDescent="0.25">
      <c r="A254" s="9" t="s">
        <v>264</v>
      </c>
      <c r="B254" s="10">
        <v>4</v>
      </c>
      <c r="C254" s="10">
        <v>35</v>
      </c>
      <c r="D254" s="11">
        <v>47.78</v>
      </c>
      <c r="E254" s="12">
        <v>20</v>
      </c>
      <c r="F254" s="12">
        <v>50</v>
      </c>
      <c r="G254" s="12">
        <v>57.2</v>
      </c>
      <c r="H254" s="13">
        <f t="shared" si="12"/>
        <v>16547.78</v>
      </c>
      <c r="I254" s="14">
        <f t="shared" si="13"/>
        <v>20.849222222222224</v>
      </c>
      <c r="J254" s="10">
        <v>10</v>
      </c>
      <c r="K254" s="10">
        <v>27</v>
      </c>
      <c r="L254" s="10">
        <v>5.54</v>
      </c>
      <c r="M254" s="12">
        <v>11</v>
      </c>
      <c r="N254" s="12">
        <v>4</v>
      </c>
      <c r="O254" s="12">
        <v>32.5</v>
      </c>
      <c r="P254" s="13">
        <f t="shared" si="14"/>
        <v>37625.54</v>
      </c>
      <c r="Q254" s="14">
        <f t="shared" si="15"/>
        <v>11.075694444444444</v>
      </c>
    </row>
    <row r="255" spans="1:17" x14ac:dyDescent="0.25">
      <c r="A255" s="9" t="s">
        <v>265</v>
      </c>
      <c r="B255" s="10">
        <v>4</v>
      </c>
      <c r="C255" s="10">
        <v>37</v>
      </c>
      <c r="D255" s="11">
        <v>52.64</v>
      </c>
      <c r="E255" s="12">
        <v>20</v>
      </c>
      <c r="F255" s="12">
        <v>56</v>
      </c>
      <c r="G255" s="12">
        <v>17.7</v>
      </c>
      <c r="H255" s="13">
        <f t="shared" si="12"/>
        <v>16672.64</v>
      </c>
      <c r="I255" s="14">
        <f t="shared" si="13"/>
        <v>20.93825</v>
      </c>
      <c r="J255" s="10">
        <v>10</v>
      </c>
      <c r="K255" s="10">
        <v>31</v>
      </c>
      <c r="L255" s="10">
        <v>48.53</v>
      </c>
      <c r="M255" s="12">
        <v>10</v>
      </c>
      <c r="N255" s="12">
        <v>38</v>
      </c>
      <c r="O255" s="12">
        <v>15</v>
      </c>
      <c r="P255" s="13">
        <f t="shared" si="14"/>
        <v>37908.53</v>
      </c>
      <c r="Q255" s="14">
        <f t="shared" si="15"/>
        <v>10.637499999999999</v>
      </c>
    </row>
    <row r="256" spans="1:17" x14ac:dyDescent="0.25">
      <c r="A256" s="9" t="s">
        <v>266</v>
      </c>
      <c r="B256" s="10">
        <v>4</v>
      </c>
      <c r="C256" s="10">
        <v>39</v>
      </c>
      <c r="D256" s="11">
        <v>56.25</v>
      </c>
      <c r="E256" s="12">
        <v>21</v>
      </c>
      <c r="F256" s="12">
        <v>1</v>
      </c>
      <c r="G256" s="12">
        <v>30.9</v>
      </c>
      <c r="H256" s="13">
        <f t="shared" si="12"/>
        <v>16796.25</v>
      </c>
      <c r="I256" s="14">
        <f t="shared" si="13"/>
        <v>21.02525</v>
      </c>
      <c r="J256" s="10">
        <v>10</v>
      </c>
      <c r="K256" s="10">
        <v>36</v>
      </c>
      <c r="L256" s="10">
        <v>30.77</v>
      </c>
      <c r="M256" s="12">
        <v>10</v>
      </c>
      <c r="N256" s="12">
        <v>11</v>
      </c>
      <c r="O256" s="12">
        <v>39.6</v>
      </c>
      <c r="P256" s="13">
        <f t="shared" si="14"/>
        <v>38190.769999999997</v>
      </c>
      <c r="Q256" s="14">
        <f t="shared" si="15"/>
        <v>10.194333333333333</v>
      </c>
    </row>
    <row r="257" spans="1:17" x14ac:dyDescent="0.25">
      <c r="A257" s="9" t="s">
        <v>267</v>
      </c>
      <c r="B257" s="10">
        <v>4</v>
      </c>
      <c r="C257" s="10">
        <v>41</v>
      </c>
      <c r="D257" s="11">
        <v>58.57</v>
      </c>
      <c r="E257" s="12">
        <v>21</v>
      </c>
      <c r="F257" s="12">
        <v>6</v>
      </c>
      <c r="G257" s="12">
        <v>36.9</v>
      </c>
      <c r="H257" s="13">
        <f t="shared" si="12"/>
        <v>16918.57</v>
      </c>
      <c r="I257" s="14">
        <f t="shared" si="13"/>
        <v>21.110250000000001</v>
      </c>
      <c r="J257" s="10">
        <v>10</v>
      </c>
      <c r="K257" s="10">
        <v>41</v>
      </c>
      <c r="L257" s="10">
        <v>12.29</v>
      </c>
      <c r="M257" s="12">
        <v>9</v>
      </c>
      <c r="N257" s="12">
        <v>44</v>
      </c>
      <c r="O257" s="12">
        <v>47.1</v>
      </c>
      <c r="P257" s="13">
        <f t="shared" si="14"/>
        <v>38472.29</v>
      </c>
      <c r="Q257" s="14">
        <f t="shared" si="15"/>
        <v>9.746416666666665</v>
      </c>
    </row>
    <row r="258" spans="1:17" x14ac:dyDescent="0.25">
      <c r="A258" s="9" t="s">
        <v>268</v>
      </c>
      <c r="B258" s="10">
        <v>4</v>
      </c>
      <c r="C258" s="10">
        <v>43</v>
      </c>
      <c r="D258" s="11">
        <v>59.57</v>
      </c>
      <c r="E258" s="12">
        <v>21</v>
      </c>
      <c r="F258" s="12">
        <v>11</v>
      </c>
      <c r="G258" s="12">
        <v>35.799999999999997</v>
      </c>
      <c r="H258" s="13">
        <f t="shared" si="12"/>
        <v>17039.57</v>
      </c>
      <c r="I258" s="14">
        <f t="shared" si="13"/>
        <v>21.193277777777777</v>
      </c>
      <c r="J258" s="10">
        <v>10</v>
      </c>
      <c r="K258" s="10">
        <v>45</v>
      </c>
      <c r="L258" s="10">
        <v>53.12</v>
      </c>
      <c r="M258" s="12">
        <v>9</v>
      </c>
      <c r="N258" s="12">
        <v>17</v>
      </c>
      <c r="O258" s="12">
        <v>38.1</v>
      </c>
      <c r="P258" s="13">
        <f t="shared" si="14"/>
        <v>38753.120000000003</v>
      </c>
      <c r="Q258" s="14">
        <f t="shared" si="15"/>
        <v>9.2939166666666662</v>
      </c>
    </row>
    <row r="259" spans="1:17" x14ac:dyDescent="0.25">
      <c r="A259" s="9" t="s">
        <v>269</v>
      </c>
      <c r="B259" s="10">
        <v>4</v>
      </c>
      <c r="C259" s="10">
        <v>45</v>
      </c>
      <c r="D259" s="11">
        <v>59.2</v>
      </c>
      <c r="E259" s="12">
        <v>21</v>
      </c>
      <c r="F259" s="12">
        <v>16</v>
      </c>
      <c r="G259" s="12">
        <v>27.7</v>
      </c>
      <c r="H259" s="13">
        <f t="shared" si="12"/>
        <v>17159.2</v>
      </c>
      <c r="I259" s="14">
        <f t="shared" si="13"/>
        <v>21.274361111111112</v>
      </c>
      <c r="J259" s="10">
        <v>10</v>
      </c>
      <c r="K259" s="10">
        <v>50</v>
      </c>
      <c r="L259" s="10">
        <v>33.299999999999997</v>
      </c>
      <c r="M259" s="12">
        <v>8</v>
      </c>
      <c r="N259" s="12">
        <v>50</v>
      </c>
      <c r="O259" s="12">
        <v>13.3</v>
      </c>
      <c r="P259" s="13">
        <f t="shared" si="14"/>
        <v>39033.300000000003</v>
      </c>
      <c r="Q259" s="14">
        <f t="shared" si="15"/>
        <v>8.837027777777779</v>
      </c>
    </row>
    <row r="260" spans="1:17" x14ac:dyDescent="0.25">
      <c r="A260" s="9" t="s">
        <v>270</v>
      </c>
      <c r="B260" s="10">
        <v>4</v>
      </c>
      <c r="C260" s="10">
        <v>47</v>
      </c>
      <c r="D260" s="11">
        <v>57.42</v>
      </c>
      <c r="E260" s="12">
        <v>21</v>
      </c>
      <c r="F260" s="12">
        <v>21</v>
      </c>
      <c r="G260" s="12">
        <v>12.8</v>
      </c>
      <c r="H260" s="13">
        <f t="shared" ref="H260:H323" si="16">B260*3600+C260*60+D260</f>
        <v>17277.419999999998</v>
      </c>
      <c r="I260" s="14">
        <f t="shared" ref="I260:I323" si="17">F260/60+G260/3600+E260</f>
        <v>21.353555555555555</v>
      </c>
      <c r="J260" s="10">
        <v>10</v>
      </c>
      <c r="K260" s="10">
        <v>55</v>
      </c>
      <c r="L260" s="10">
        <v>12.84</v>
      </c>
      <c r="M260" s="12">
        <v>8</v>
      </c>
      <c r="N260" s="12">
        <v>22</v>
      </c>
      <c r="O260" s="12">
        <v>33.5</v>
      </c>
      <c r="P260" s="13">
        <f t="shared" ref="P260:P323" si="18">J260*3600+K260*60+L260</f>
        <v>39312.839999999997</v>
      </c>
      <c r="Q260" s="14">
        <f t="shared" ref="Q260:Q323" si="19">M260+N260/60+O260/3600</f>
        <v>8.3759722222222219</v>
      </c>
    </row>
    <row r="261" spans="1:17" x14ac:dyDescent="0.25">
      <c r="A261" s="9" t="s">
        <v>271</v>
      </c>
      <c r="B261" s="10">
        <v>4</v>
      </c>
      <c r="C261" s="10">
        <v>49</v>
      </c>
      <c r="D261" s="11">
        <v>54.2</v>
      </c>
      <c r="E261" s="12">
        <v>21</v>
      </c>
      <c r="F261" s="12">
        <v>25</v>
      </c>
      <c r="G261" s="12">
        <v>51.3</v>
      </c>
      <c r="H261" s="13">
        <f t="shared" si="16"/>
        <v>17394.2</v>
      </c>
      <c r="I261" s="14">
        <f t="shared" si="17"/>
        <v>21.430916666666668</v>
      </c>
      <c r="J261" s="10">
        <v>10</v>
      </c>
      <c r="K261" s="10">
        <v>59</v>
      </c>
      <c r="L261" s="10">
        <v>51.79</v>
      </c>
      <c r="M261" s="12">
        <v>7</v>
      </c>
      <c r="N261" s="12">
        <v>54</v>
      </c>
      <c r="O261" s="12">
        <v>39.299999999999997</v>
      </c>
      <c r="P261" s="13">
        <f t="shared" si="18"/>
        <v>39591.79</v>
      </c>
      <c r="Q261" s="14">
        <f t="shared" si="19"/>
        <v>7.910916666666667</v>
      </c>
    </row>
    <row r="262" spans="1:17" x14ac:dyDescent="0.25">
      <c r="A262" s="9" t="s">
        <v>272</v>
      </c>
      <c r="B262" s="10">
        <v>4</v>
      </c>
      <c r="C262" s="10">
        <v>51</v>
      </c>
      <c r="D262" s="11">
        <v>49.48</v>
      </c>
      <c r="E262" s="12">
        <v>21</v>
      </c>
      <c r="F262" s="12">
        <v>30</v>
      </c>
      <c r="G262" s="12">
        <v>23.2</v>
      </c>
      <c r="H262" s="13">
        <f t="shared" si="16"/>
        <v>17509.48</v>
      </c>
      <c r="I262" s="14">
        <f t="shared" si="17"/>
        <v>21.506444444444444</v>
      </c>
      <c r="J262" s="10">
        <v>11</v>
      </c>
      <c r="K262" s="10">
        <v>4</v>
      </c>
      <c r="L262" s="10">
        <v>30.17</v>
      </c>
      <c r="M262" s="12">
        <v>7</v>
      </c>
      <c r="N262" s="12">
        <v>26</v>
      </c>
      <c r="O262" s="12">
        <v>31.5</v>
      </c>
      <c r="P262" s="13">
        <f t="shared" si="18"/>
        <v>39870.17</v>
      </c>
      <c r="Q262" s="14">
        <f t="shared" si="19"/>
        <v>7.4420833333333336</v>
      </c>
    </row>
    <row r="263" spans="1:17" x14ac:dyDescent="0.25">
      <c r="A263" s="9" t="s">
        <v>273</v>
      </c>
      <c r="B263" s="10">
        <v>4</v>
      </c>
      <c r="C263" s="10">
        <v>53</v>
      </c>
      <c r="D263" s="11">
        <v>43.22</v>
      </c>
      <c r="E263" s="12">
        <v>21</v>
      </c>
      <c r="F263" s="12">
        <v>34</v>
      </c>
      <c r="G263" s="12">
        <v>48.7</v>
      </c>
      <c r="H263" s="13">
        <f t="shared" si="16"/>
        <v>17623.22</v>
      </c>
      <c r="I263" s="14">
        <f t="shared" si="17"/>
        <v>21.580194444444444</v>
      </c>
      <c r="J263" s="10">
        <v>11</v>
      </c>
      <c r="K263" s="10">
        <v>9</v>
      </c>
      <c r="L263" s="10">
        <v>8.01</v>
      </c>
      <c r="M263" s="12">
        <v>6</v>
      </c>
      <c r="N263" s="12">
        <v>58</v>
      </c>
      <c r="O263" s="12">
        <v>10.8</v>
      </c>
      <c r="P263" s="13">
        <f t="shared" si="18"/>
        <v>40148.01</v>
      </c>
      <c r="Q263" s="14">
        <f t="shared" si="19"/>
        <v>6.9696666666666669</v>
      </c>
    </row>
    <row r="264" spans="1:17" x14ac:dyDescent="0.25">
      <c r="A264" s="9" t="s">
        <v>274</v>
      </c>
      <c r="B264" s="10">
        <v>4</v>
      </c>
      <c r="C264" s="10">
        <v>55</v>
      </c>
      <c r="D264" s="11">
        <v>35.380000000000003</v>
      </c>
      <c r="E264" s="12">
        <v>21</v>
      </c>
      <c r="F264" s="12">
        <v>39</v>
      </c>
      <c r="G264" s="12">
        <v>8</v>
      </c>
      <c r="H264" s="13">
        <f t="shared" si="16"/>
        <v>17735.38</v>
      </c>
      <c r="I264" s="14">
        <f t="shared" si="17"/>
        <v>21.652222222222221</v>
      </c>
      <c r="J264" s="10">
        <v>11</v>
      </c>
      <c r="K264" s="10">
        <v>13</v>
      </c>
      <c r="L264" s="10">
        <v>45.36</v>
      </c>
      <c r="M264" s="12">
        <v>6</v>
      </c>
      <c r="N264" s="12">
        <v>29</v>
      </c>
      <c r="O264" s="12">
        <v>37.9</v>
      </c>
      <c r="P264" s="13">
        <f t="shared" si="18"/>
        <v>40425.360000000001</v>
      </c>
      <c r="Q264" s="14">
        <f t="shared" si="19"/>
        <v>6.4938611111111113</v>
      </c>
    </row>
    <row r="265" spans="1:17" x14ac:dyDescent="0.25">
      <c r="A265" s="9" t="s">
        <v>275</v>
      </c>
      <c r="B265" s="10">
        <v>4</v>
      </c>
      <c r="C265" s="10">
        <v>57</v>
      </c>
      <c r="D265" s="11">
        <v>25.91</v>
      </c>
      <c r="E265" s="12">
        <v>21</v>
      </c>
      <c r="F265" s="12">
        <v>43</v>
      </c>
      <c r="G265" s="12">
        <v>21.2</v>
      </c>
      <c r="H265" s="13">
        <f t="shared" si="16"/>
        <v>17845.91</v>
      </c>
      <c r="I265" s="14">
        <f t="shared" si="17"/>
        <v>21.722555555555555</v>
      </c>
      <c r="J265" s="10">
        <v>11</v>
      </c>
      <c r="K265" s="10">
        <v>18</v>
      </c>
      <c r="L265" s="10">
        <v>22.24</v>
      </c>
      <c r="M265" s="12">
        <v>6</v>
      </c>
      <c r="N265" s="12">
        <v>0</v>
      </c>
      <c r="O265" s="12">
        <v>53.5</v>
      </c>
      <c r="P265" s="13">
        <f t="shared" si="18"/>
        <v>40702.239999999998</v>
      </c>
      <c r="Q265" s="14">
        <f t="shared" si="19"/>
        <v>6.0148611111111112</v>
      </c>
    </row>
    <row r="266" spans="1:17" x14ac:dyDescent="0.25">
      <c r="A266" s="9" t="s">
        <v>276</v>
      </c>
      <c r="B266" s="10">
        <v>4</v>
      </c>
      <c r="C266" s="10">
        <v>59</v>
      </c>
      <c r="D266" s="11">
        <v>14.77</v>
      </c>
      <c r="E266" s="12">
        <v>21</v>
      </c>
      <c r="F266" s="12">
        <v>47</v>
      </c>
      <c r="G266" s="12">
        <v>28.5</v>
      </c>
      <c r="H266" s="13">
        <f t="shared" si="16"/>
        <v>17954.77</v>
      </c>
      <c r="I266" s="14">
        <f t="shared" si="17"/>
        <v>21.791250000000002</v>
      </c>
      <c r="J266" s="10">
        <v>11</v>
      </c>
      <c r="K266" s="10">
        <v>22</v>
      </c>
      <c r="L266" s="10">
        <v>58.68</v>
      </c>
      <c r="M266" s="12">
        <v>5</v>
      </c>
      <c r="N266" s="12">
        <v>31</v>
      </c>
      <c r="O266" s="12">
        <v>58.3</v>
      </c>
      <c r="P266" s="13">
        <f t="shared" si="18"/>
        <v>40978.68</v>
      </c>
      <c r="Q266" s="14">
        <f t="shared" si="19"/>
        <v>5.532861111111111</v>
      </c>
    </row>
    <row r="267" spans="1:17" x14ac:dyDescent="0.25">
      <c r="A267" s="9" t="s">
        <v>277</v>
      </c>
      <c r="B267" s="10">
        <v>5</v>
      </c>
      <c r="C267" s="10">
        <v>1</v>
      </c>
      <c r="D267" s="11">
        <v>1.9</v>
      </c>
      <c r="E267" s="12">
        <v>21</v>
      </c>
      <c r="F267" s="12">
        <v>51</v>
      </c>
      <c r="G267" s="12">
        <v>30.1</v>
      </c>
      <c r="H267" s="13">
        <f t="shared" si="16"/>
        <v>18061.900000000001</v>
      </c>
      <c r="I267" s="14">
        <f t="shared" si="17"/>
        <v>21.858361111111112</v>
      </c>
      <c r="J267" s="10">
        <v>11</v>
      </c>
      <c r="K267" s="10">
        <v>27</v>
      </c>
      <c r="L267" s="10">
        <v>34.729999999999997</v>
      </c>
      <c r="M267" s="12">
        <v>5</v>
      </c>
      <c r="N267" s="12">
        <v>2</v>
      </c>
      <c r="O267" s="12">
        <v>53.1</v>
      </c>
      <c r="P267" s="13">
        <f t="shared" si="18"/>
        <v>41254.730000000003</v>
      </c>
      <c r="Q267" s="14">
        <f t="shared" si="19"/>
        <v>5.0480833333333335</v>
      </c>
    </row>
    <row r="268" spans="1:17" x14ac:dyDescent="0.25">
      <c r="A268" s="9" t="s">
        <v>278</v>
      </c>
      <c r="B268" s="10">
        <v>5</v>
      </c>
      <c r="C268" s="10">
        <v>2</v>
      </c>
      <c r="D268" s="11">
        <v>47.26</v>
      </c>
      <c r="E268" s="12">
        <v>21</v>
      </c>
      <c r="F268" s="12">
        <v>55</v>
      </c>
      <c r="G268" s="12">
        <v>26.2</v>
      </c>
      <c r="H268" s="13">
        <f t="shared" si="16"/>
        <v>18167.259999999998</v>
      </c>
      <c r="I268" s="14">
        <f t="shared" si="17"/>
        <v>21.923944444444444</v>
      </c>
      <c r="J268" s="10">
        <v>11</v>
      </c>
      <c r="K268" s="10">
        <v>32</v>
      </c>
      <c r="L268" s="10">
        <v>10.41</v>
      </c>
      <c r="M268" s="12">
        <v>4</v>
      </c>
      <c r="N268" s="12">
        <v>33</v>
      </c>
      <c r="O268" s="12">
        <v>38.700000000000003</v>
      </c>
      <c r="P268" s="13">
        <f t="shared" si="18"/>
        <v>41530.410000000003</v>
      </c>
      <c r="Q268" s="14">
        <f t="shared" si="19"/>
        <v>4.5607499999999996</v>
      </c>
    </row>
    <row r="269" spans="1:17" x14ac:dyDescent="0.25">
      <c r="A269" s="9" t="s">
        <v>279</v>
      </c>
      <c r="B269" s="10">
        <v>5</v>
      </c>
      <c r="C269" s="10">
        <v>4</v>
      </c>
      <c r="D269" s="11">
        <v>30.81</v>
      </c>
      <c r="E269" s="12">
        <v>21</v>
      </c>
      <c r="F269" s="12">
        <v>59</v>
      </c>
      <c r="G269" s="12">
        <v>16.899999999999999</v>
      </c>
      <c r="H269" s="13">
        <f t="shared" si="16"/>
        <v>18270.810000000001</v>
      </c>
      <c r="I269" s="14">
        <f t="shared" si="17"/>
        <v>21.988027777777777</v>
      </c>
      <c r="J269" s="10">
        <v>11</v>
      </c>
      <c r="K269" s="10">
        <v>36</v>
      </c>
      <c r="L269" s="10">
        <v>45.77</v>
      </c>
      <c r="M269" s="12">
        <v>4</v>
      </c>
      <c r="N269" s="12">
        <v>4</v>
      </c>
      <c r="O269" s="12">
        <v>15.7</v>
      </c>
      <c r="P269" s="13">
        <f t="shared" si="18"/>
        <v>41805.769999999997</v>
      </c>
      <c r="Q269" s="14">
        <f t="shared" si="19"/>
        <v>4.0710277777777772</v>
      </c>
    </row>
    <row r="270" spans="1:17" x14ac:dyDescent="0.25">
      <c r="A270" s="9" t="s">
        <v>280</v>
      </c>
      <c r="B270" s="10">
        <v>5</v>
      </c>
      <c r="C270" s="10">
        <v>6</v>
      </c>
      <c r="D270" s="11">
        <v>12.49</v>
      </c>
      <c r="E270" s="12">
        <v>22</v>
      </c>
      <c r="F270" s="12">
        <v>3</v>
      </c>
      <c r="G270" s="12">
        <v>2.4</v>
      </c>
      <c r="H270" s="13">
        <f t="shared" si="16"/>
        <v>18372.490000000002</v>
      </c>
      <c r="I270" s="14">
        <f t="shared" si="17"/>
        <v>22.050666666666668</v>
      </c>
      <c r="J270" s="10">
        <v>11</v>
      </c>
      <c r="K270" s="10">
        <v>41</v>
      </c>
      <c r="L270" s="10">
        <v>20.83</v>
      </c>
      <c r="M270" s="12">
        <v>3</v>
      </c>
      <c r="N270" s="12">
        <v>34</v>
      </c>
      <c r="O270" s="12">
        <v>44.9</v>
      </c>
      <c r="P270" s="13">
        <f t="shared" si="18"/>
        <v>42080.83</v>
      </c>
      <c r="Q270" s="14">
        <f t="shared" si="19"/>
        <v>3.5791388888888886</v>
      </c>
    </row>
    <row r="271" spans="1:17" x14ac:dyDescent="0.25">
      <c r="A271" s="9" t="s">
        <v>281</v>
      </c>
      <c r="B271" s="10">
        <v>5</v>
      </c>
      <c r="C271" s="10">
        <v>7</v>
      </c>
      <c r="D271" s="11">
        <v>52.26</v>
      </c>
      <c r="E271" s="12">
        <v>22</v>
      </c>
      <c r="F271" s="12">
        <v>6</v>
      </c>
      <c r="G271" s="12">
        <v>42.9</v>
      </c>
      <c r="H271" s="13">
        <f t="shared" si="16"/>
        <v>18472.259999999998</v>
      </c>
      <c r="I271" s="14">
        <f t="shared" si="17"/>
        <v>22.111916666666666</v>
      </c>
      <c r="J271" s="10">
        <v>11</v>
      </c>
      <c r="K271" s="10">
        <v>45</v>
      </c>
      <c r="L271" s="10">
        <v>55.64</v>
      </c>
      <c r="M271" s="12">
        <v>3</v>
      </c>
      <c r="N271" s="12">
        <v>5</v>
      </c>
      <c r="O271" s="12">
        <v>7</v>
      </c>
      <c r="P271" s="13">
        <f t="shared" si="18"/>
        <v>42355.64</v>
      </c>
      <c r="Q271" s="14">
        <f t="shared" si="19"/>
        <v>3.0852777777777778</v>
      </c>
    </row>
    <row r="272" spans="1:17" x14ac:dyDescent="0.25">
      <c r="A272" s="9" t="s">
        <v>282</v>
      </c>
      <c r="B272" s="10">
        <v>5</v>
      </c>
      <c r="C272" s="10">
        <v>9</v>
      </c>
      <c r="D272" s="11">
        <v>30.06</v>
      </c>
      <c r="E272" s="12">
        <v>22</v>
      </c>
      <c r="F272" s="12">
        <v>10</v>
      </c>
      <c r="G272" s="12">
        <v>18.7</v>
      </c>
      <c r="H272" s="13">
        <f t="shared" si="16"/>
        <v>18570.060000000001</v>
      </c>
      <c r="I272" s="14">
        <f t="shared" si="17"/>
        <v>22.171861111111109</v>
      </c>
      <c r="J272" s="10">
        <v>11</v>
      </c>
      <c r="K272" s="10">
        <v>50</v>
      </c>
      <c r="L272" s="10">
        <v>30.23</v>
      </c>
      <c r="M272" s="12">
        <v>2</v>
      </c>
      <c r="N272" s="12">
        <v>35</v>
      </c>
      <c r="O272" s="12">
        <v>22.8</v>
      </c>
      <c r="P272" s="13">
        <f t="shared" si="18"/>
        <v>42630.23</v>
      </c>
      <c r="Q272" s="14">
        <f t="shared" si="19"/>
        <v>2.589666666666667</v>
      </c>
    </row>
    <row r="273" spans="1:17" x14ac:dyDescent="0.25">
      <c r="A273" s="9" t="s">
        <v>283</v>
      </c>
      <c r="B273" s="10">
        <v>5</v>
      </c>
      <c r="C273" s="10">
        <v>11</v>
      </c>
      <c r="D273" s="11">
        <v>5.86</v>
      </c>
      <c r="E273" s="12">
        <v>22</v>
      </c>
      <c r="F273" s="12">
        <v>13</v>
      </c>
      <c r="G273" s="12">
        <v>50</v>
      </c>
      <c r="H273" s="13">
        <f t="shared" si="16"/>
        <v>18665.86</v>
      </c>
      <c r="I273" s="14">
        <f t="shared" si="17"/>
        <v>22.230555555555554</v>
      </c>
      <c r="J273" s="10">
        <v>11</v>
      </c>
      <c r="K273" s="10">
        <v>55</v>
      </c>
      <c r="L273" s="10">
        <v>4.6399999999999997</v>
      </c>
      <c r="M273" s="12">
        <v>2</v>
      </c>
      <c r="N273" s="12">
        <v>5</v>
      </c>
      <c r="O273" s="12">
        <v>33.1</v>
      </c>
      <c r="P273" s="13">
        <f t="shared" si="18"/>
        <v>42904.639999999999</v>
      </c>
      <c r="Q273" s="14">
        <f t="shared" si="19"/>
        <v>2.0925277777777778</v>
      </c>
    </row>
    <row r="274" spans="1:17" x14ac:dyDescent="0.25">
      <c r="A274" s="9" t="s">
        <v>284</v>
      </c>
      <c r="B274" s="10">
        <v>5</v>
      </c>
      <c r="C274" s="10">
        <v>12</v>
      </c>
      <c r="D274" s="11">
        <v>39.61</v>
      </c>
      <c r="E274" s="12">
        <v>22</v>
      </c>
      <c r="F274" s="12">
        <v>17</v>
      </c>
      <c r="G274" s="12">
        <v>16.8</v>
      </c>
      <c r="H274" s="13">
        <f t="shared" si="16"/>
        <v>18759.61</v>
      </c>
      <c r="I274" s="14">
        <f t="shared" si="17"/>
        <v>22.288</v>
      </c>
      <c r="J274" s="10">
        <v>11</v>
      </c>
      <c r="K274" s="10">
        <v>59</v>
      </c>
      <c r="L274" s="10">
        <v>38.909999999999997</v>
      </c>
      <c r="M274" s="12">
        <v>1</v>
      </c>
      <c r="N274" s="12">
        <v>35</v>
      </c>
      <c r="O274" s="12">
        <v>38.5</v>
      </c>
      <c r="P274" s="13">
        <f t="shared" si="18"/>
        <v>43178.91</v>
      </c>
      <c r="Q274" s="14">
        <f t="shared" si="19"/>
        <v>1.5940277777777778</v>
      </c>
    </row>
    <row r="275" spans="1:17" x14ac:dyDescent="0.25">
      <c r="A275" s="9" t="s">
        <v>285</v>
      </c>
      <c r="B275" s="10">
        <v>5</v>
      </c>
      <c r="C275" s="10">
        <v>14</v>
      </c>
      <c r="D275" s="11">
        <v>11.25</v>
      </c>
      <c r="E275" s="12">
        <v>22</v>
      </c>
      <c r="F275" s="12">
        <v>20</v>
      </c>
      <c r="G275" s="12">
        <v>39.6</v>
      </c>
      <c r="H275" s="13">
        <f t="shared" si="16"/>
        <v>18851.25</v>
      </c>
      <c r="I275" s="14">
        <f t="shared" si="17"/>
        <v>22.344333333333335</v>
      </c>
      <c r="J275" s="10">
        <v>12</v>
      </c>
      <c r="K275" s="10">
        <v>4</v>
      </c>
      <c r="L275" s="10">
        <v>13.07</v>
      </c>
      <c r="M275" s="12">
        <v>1</v>
      </c>
      <c r="N275" s="12">
        <v>5</v>
      </c>
      <c r="O275" s="12">
        <v>39.9</v>
      </c>
      <c r="P275" s="13">
        <f t="shared" si="18"/>
        <v>43453.07</v>
      </c>
      <c r="Q275" s="14">
        <f t="shared" si="19"/>
        <v>1.0944166666666666</v>
      </c>
    </row>
    <row r="276" spans="1:17" x14ac:dyDescent="0.25">
      <c r="A276" s="9" t="s">
        <v>286</v>
      </c>
      <c r="B276" s="10">
        <v>5</v>
      </c>
      <c r="C276" s="10">
        <v>15</v>
      </c>
      <c r="D276" s="11">
        <v>40.76</v>
      </c>
      <c r="E276" s="12">
        <v>22</v>
      </c>
      <c r="F276" s="12">
        <v>23</v>
      </c>
      <c r="G276" s="12">
        <v>58.5</v>
      </c>
      <c r="H276" s="13">
        <f t="shared" si="16"/>
        <v>18940.759999999998</v>
      </c>
      <c r="I276" s="14">
        <f t="shared" si="17"/>
        <v>22.399583333333332</v>
      </c>
      <c r="J276" s="10">
        <v>12</v>
      </c>
      <c r="K276" s="10">
        <v>8</v>
      </c>
      <c r="L276" s="10">
        <v>47.17</v>
      </c>
      <c r="M276" s="12">
        <v>0</v>
      </c>
      <c r="N276" s="12">
        <v>35</v>
      </c>
      <c r="O276" s="12">
        <v>37.9</v>
      </c>
      <c r="P276" s="13">
        <f t="shared" si="18"/>
        <v>43727.17</v>
      </c>
      <c r="Q276" s="14">
        <f t="shared" si="19"/>
        <v>0.59386111111111117</v>
      </c>
    </row>
    <row r="277" spans="1:17" x14ac:dyDescent="0.25">
      <c r="A277" s="9" t="s">
        <v>287</v>
      </c>
      <c r="B277" s="10">
        <v>5</v>
      </c>
      <c r="C277" s="10">
        <v>17</v>
      </c>
      <c r="D277" s="11">
        <v>8.07</v>
      </c>
      <c r="E277" s="12">
        <v>22</v>
      </c>
      <c r="F277" s="12">
        <v>27</v>
      </c>
      <c r="G277" s="12">
        <v>13.6</v>
      </c>
      <c r="H277" s="13">
        <f t="shared" si="16"/>
        <v>19028.07</v>
      </c>
      <c r="I277" s="14">
        <f t="shared" si="17"/>
        <v>22.453777777777777</v>
      </c>
      <c r="J277" s="10">
        <v>12</v>
      </c>
      <c r="K277" s="10">
        <v>13</v>
      </c>
      <c r="L277" s="10">
        <v>21.23</v>
      </c>
      <c r="M277" s="12">
        <v>0</v>
      </c>
      <c r="N277" s="12">
        <v>5</v>
      </c>
      <c r="O277" s="12">
        <v>33.299999999999997</v>
      </c>
      <c r="P277" s="13">
        <f t="shared" si="18"/>
        <v>44001.23</v>
      </c>
      <c r="Q277" s="14">
        <f t="shared" si="19"/>
        <v>9.2583333333333323E-2</v>
      </c>
    </row>
    <row r="278" spans="1:17" x14ac:dyDescent="0.25">
      <c r="A278" s="9" t="s">
        <v>288</v>
      </c>
      <c r="B278" s="10">
        <v>5</v>
      </c>
      <c r="C278" s="10">
        <v>18</v>
      </c>
      <c r="D278" s="11">
        <v>33.15</v>
      </c>
      <c r="E278" s="12">
        <v>22</v>
      </c>
      <c r="F278" s="12">
        <v>30</v>
      </c>
      <c r="G278" s="12">
        <v>25.3</v>
      </c>
      <c r="H278" s="13">
        <f t="shared" si="16"/>
        <v>19113.150000000001</v>
      </c>
      <c r="I278" s="14">
        <f t="shared" si="17"/>
        <v>22.507027777777779</v>
      </c>
      <c r="J278" s="10">
        <v>12</v>
      </c>
      <c r="K278" s="10">
        <v>17</v>
      </c>
      <c r="L278" s="10">
        <v>55.32</v>
      </c>
      <c r="M278" s="12">
        <v>0</v>
      </c>
      <c r="N278" s="12">
        <v>-24</v>
      </c>
      <c r="O278" s="12">
        <v>-33.1</v>
      </c>
      <c r="P278" s="13">
        <f t="shared" si="18"/>
        <v>44275.32</v>
      </c>
      <c r="Q278" s="14">
        <f t="shared" si="19"/>
        <v>-0.40919444444444447</v>
      </c>
    </row>
    <row r="279" spans="1:17" x14ac:dyDescent="0.25">
      <c r="A279" s="9" t="s">
        <v>289</v>
      </c>
      <c r="B279" s="10">
        <v>5</v>
      </c>
      <c r="C279" s="10">
        <v>19</v>
      </c>
      <c r="D279" s="11">
        <v>55.96</v>
      </c>
      <c r="E279" s="12">
        <v>22</v>
      </c>
      <c r="F279" s="12">
        <v>33</v>
      </c>
      <c r="G279" s="12">
        <v>33.799999999999997</v>
      </c>
      <c r="H279" s="13">
        <f t="shared" si="16"/>
        <v>19195.96</v>
      </c>
      <c r="I279" s="14">
        <f t="shared" si="17"/>
        <v>22.55938888888889</v>
      </c>
      <c r="J279" s="10">
        <v>12</v>
      </c>
      <c r="K279" s="10">
        <v>22</v>
      </c>
      <c r="L279" s="10">
        <v>29.45</v>
      </c>
      <c r="M279" s="12">
        <v>0</v>
      </c>
      <c r="N279" s="12">
        <v>-54</v>
      </c>
      <c r="O279" s="12">
        <v>-40.6</v>
      </c>
      <c r="P279" s="13">
        <f t="shared" si="18"/>
        <v>44549.45</v>
      </c>
      <c r="Q279" s="14">
        <f t="shared" si="19"/>
        <v>-0.91127777777777785</v>
      </c>
    </row>
    <row r="280" spans="1:17" x14ac:dyDescent="0.25">
      <c r="A280" s="9" t="s">
        <v>290</v>
      </c>
      <c r="B280" s="10">
        <v>5</v>
      </c>
      <c r="C280" s="10">
        <v>21</v>
      </c>
      <c r="D280" s="11">
        <v>16.440000000000001</v>
      </c>
      <c r="E280" s="12">
        <v>22</v>
      </c>
      <c r="F280" s="12">
        <v>36</v>
      </c>
      <c r="G280" s="12">
        <v>39.299999999999997</v>
      </c>
      <c r="H280" s="13">
        <f t="shared" si="16"/>
        <v>19276.439999999999</v>
      </c>
      <c r="I280" s="14">
        <f t="shared" si="17"/>
        <v>22.610916666666668</v>
      </c>
      <c r="J280" s="10">
        <v>12</v>
      </c>
      <c r="K280" s="10">
        <v>27</v>
      </c>
      <c r="L280" s="10">
        <v>3.68</v>
      </c>
      <c r="M280" s="12">
        <v>-1</v>
      </c>
      <c r="N280" s="12">
        <v>-24</v>
      </c>
      <c r="O280" s="12">
        <v>-48.4</v>
      </c>
      <c r="P280" s="13">
        <f t="shared" si="18"/>
        <v>44823.68</v>
      </c>
      <c r="Q280" s="14">
        <f t="shared" si="19"/>
        <v>-1.4134444444444443</v>
      </c>
    </row>
    <row r="281" spans="1:17" x14ac:dyDescent="0.25">
      <c r="A281" s="9" t="s">
        <v>291</v>
      </c>
      <c r="B281" s="10">
        <v>5</v>
      </c>
      <c r="C281" s="10">
        <v>22</v>
      </c>
      <c r="D281" s="11">
        <v>34.549999999999997</v>
      </c>
      <c r="E281" s="12">
        <v>22</v>
      </c>
      <c r="F281" s="12">
        <v>39</v>
      </c>
      <c r="G281" s="12">
        <v>41.9</v>
      </c>
      <c r="H281" s="13">
        <f t="shared" si="16"/>
        <v>19354.55</v>
      </c>
      <c r="I281" s="14">
        <f t="shared" si="17"/>
        <v>22.661638888888888</v>
      </c>
      <c r="J281" s="10">
        <v>12</v>
      </c>
      <c r="K281" s="10">
        <v>31</v>
      </c>
      <c r="L281" s="10">
        <v>38.049999999999997</v>
      </c>
      <c r="M281" s="12">
        <v>-1</v>
      </c>
      <c r="N281" s="12">
        <v>-54</v>
      </c>
      <c r="O281" s="12">
        <v>-55.9</v>
      </c>
      <c r="P281" s="13">
        <f t="shared" si="18"/>
        <v>45098.05</v>
      </c>
      <c r="Q281" s="14">
        <f t="shared" si="19"/>
        <v>-1.9155277777777777</v>
      </c>
    </row>
    <row r="282" spans="1:17" x14ac:dyDescent="0.25">
      <c r="A282" s="9" t="s">
        <v>292</v>
      </c>
      <c r="B282" s="10">
        <v>5</v>
      </c>
      <c r="C282" s="10">
        <v>23</v>
      </c>
      <c r="D282" s="11">
        <v>50.24</v>
      </c>
      <c r="E282" s="12">
        <v>22</v>
      </c>
      <c r="F282" s="12">
        <v>42</v>
      </c>
      <c r="G282" s="12">
        <v>41.9</v>
      </c>
      <c r="H282" s="13">
        <f t="shared" si="16"/>
        <v>19430.240000000002</v>
      </c>
      <c r="I282" s="14">
        <f t="shared" si="17"/>
        <v>22.711638888888888</v>
      </c>
      <c r="J282" s="10">
        <v>12</v>
      </c>
      <c r="K282" s="10">
        <v>36</v>
      </c>
      <c r="L282" s="10">
        <v>12.59</v>
      </c>
      <c r="M282" s="12">
        <v>-2</v>
      </c>
      <c r="N282" s="12">
        <v>-25</v>
      </c>
      <c r="O282" s="12">
        <v>-2.2000000000000002</v>
      </c>
      <c r="P282" s="13">
        <f t="shared" si="18"/>
        <v>45372.59</v>
      </c>
      <c r="Q282" s="14">
        <f t="shared" si="19"/>
        <v>-2.4172777777777776</v>
      </c>
    </row>
    <row r="283" spans="1:17" x14ac:dyDescent="0.25">
      <c r="A283" s="9" t="s">
        <v>293</v>
      </c>
      <c r="B283" s="10">
        <v>5</v>
      </c>
      <c r="C283" s="10">
        <v>25</v>
      </c>
      <c r="D283" s="11">
        <v>3.46</v>
      </c>
      <c r="E283" s="12">
        <v>22</v>
      </c>
      <c r="F283" s="12">
        <v>45</v>
      </c>
      <c r="G283" s="12">
        <v>39.6</v>
      </c>
      <c r="H283" s="13">
        <f t="shared" si="16"/>
        <v>19503.46</v>
      </c>
      <c r="I283" s="14">
        <f t="shared" si="17"/>
        <v>22.760999999999999</v>
      </c>
      <c r="J283" s="10">
        <v>12</v>
      </c>
      <c r="K283" s="10">
        <v>40</v>
      </c>
      <c r="L283" s="10">
        <v>47.36</v>
      </c>
      <c r="M283" s="12">
        <v>-2</v>
      </c>
      <c r="N283" s="12">
        <v>-55</v>
      </c>
      <c r="O283" s="12">
        <v>-6.7</v>
      </c>
      <c r="P283" s="13">
        <f t="shared" si="18"/>
        <v>45647.360000000001</v>
      </c>
      <c r="Q283" s="14">
        <f t="shared" si="19"/>
        <v>-2.9185277777777778</v>
      </c>
    </row>
    <row r="284" spans="1:17" x14ac:dyDescent="0.25">
      <c r="A284" s="9" t="s">
        <v>294</v>
      </c>
      <c r="B284" s="10">
        <v>5</v>
      </c>
      <c r="C284" s="10">
        <v>26</v>
      </c>
      <c r="D284" s="11">
        <v>14.15</v>
      </c>
      <c r="E284" s="12">
        <v>22</v>
      </c>
      <c r="F284" s="12">
        <v>48</v>
      </c>
      <c r="G284" s="12">
        <v>35</v>
      </c>
      <c r="H284" s="13">
        <f t="shared" si="16"/>
        <v>19574.150000000001</v>
      </c>
      <c r="I284" s="14">
        <f t="shared" si="17"/>
        <v>22.809722222222224</v>
      </c>
      <c r="J284" s="10">
        <v>12</v>
      </c>
      <c r="K284" s="10">
        <v>45</v>
      </c>
      <c r="L284" s="10">
        <v>22.4</v>
      </c>
      <c r="M284" s="12">
        <v>-3</v>
      </c>
      <c r="N284" s="12">
        <v>-25</v>
      </c>
      <c r="O284" s="12">
        <v>-8.6</v>
      </c>
      <c r="P284" s="13">
        <f t="shared" si="18"/>
        <v>45922.400000000001</v>
      </c>
      <c r="Q284" s="14">
        <f t="shared" si="19"/>
        <v>-3.4190555555555555</v>
      </c>
    </row>
    <row r="285" spans="1:17" x14ac:dyDescent="0.25">
      <c r="A285" s="9" t="s">
        <v>295</v>
      </c>
      <c r="B285" s="10">
        <v>5</v>
      </c>
      <c r="C285" s="10">
        <v>27</v>
      </c>
      <c r="D285" s="11">
        <v>22.26</v>
      </c>
      <c r="E285" s="12">
        <v>22</v>
      </c>
      <c r="F285" s="12">
        <v>51</v>
      </c>
      <c r="G285" s="12">
        <v>28.4</v>
      </c>
      <c r="H285" s="13">
        <f t="shared" si="16"/>
        <v>19642.259999999998</v>
      </c>
      <c r="I285" s="14">
        <f t="shared" si="17"/>
        <v>22.85788888888889</v>
      </c>
      <c r="J285" s="10">
        <v>12</v>
      </c>
      <c r="K285" s="10">
        <v>49</v>
      </c>
      <c r="L285" s="10">
        <v>57.74</v>
      </c>
      <c r="M285" s="12">
        <v>-3</v>
      </c>
      <c r="N285" s="12">
        <v>-55</v>
      </c>
      <c r="O285" s="12">
        <v>-7.2</v>
      </c>
      <c r="P285" s="13">
        <f t="shared" si="18"/>
        <v>46197.74</v>
      </c>
      <c r="Q285" s="14">
        <f t="shared" si="19"/>
        <v>-3.9186666666666663</v>
      </c>
    </row>
    <row r="286" spans="1:17" x14ac:dyDescent="0.25">
      <c r="A286" s="9" t="s">
        <v>296</v>
      </c>
      <c r="B286" s="10">
        <v>5</v>
      </c>
      <c r="C286" s="10">
        <v>28</v>
      </c>
      <c r="D286" s="11">
        <v>27.72</v>
      </c>
      <c r="E286" s="12">
        <v>22</v>
      </c>
      <c r="F286" s="12">
        <v>54</v>
      </c>
      <c r="G286" s="12">
        <v>19.899999999999999</v>
      </c>
      <c r="H286" s="13">
        <f t="shared" si="16"/>
        <v>19707.72</v>
      </c>
      <c r="I286" s="14">
        <f t="shared" si="17"/>
        <v>22.905527777777777</v>
      </c>
      <c r="J286" s="10">
        <v>12</v>
      </c>
      <c r="K286" s="10">
        <v>54</v>
      </c>
      <c r="L286" s="10">
        <v>33.44</v>
      </c>
      <c r="M286" s="12">
        <v>-4</v>
      </c>
      <c r="N286" s="12">
        <v>-25</v>
      </c>
      <c r="O286" s="12">
        <v>-1.8</v>
      </c>
      <c r="P286" s="13">
        <f t="shared" si="18"/>
        <v>46473.440000000002</v>
      </c>
      <c r="Q286" s="14">
        <f t="shared" si="19"/>
        <v>-4.4171666666666667</v>
      </c>
    </row>
    <row r="287" spans="1:17" x14ac:dyDescent="0.25">
      <c r="A287" s="9" t="s">
        <v>297</v>
      </c>
      <c r="B287" s="10">
        <v>5</v>
      </c>
      <c r="C287" s="10">
        <v>29</v>
      </c>
      <c r="D287" s="11">
        <v>30.47</v>
      </c>
      <c r="E287" s="12">
        <v>22</v>
      </c>
      <c r="F287" s="12">
        <v>57</v>
      </c>
      <c r="G287" s="12">
        <v>9.8000000000000007</v>
      </c>
      <c r="H287" s="13">
        <f t="shared" si="16"/>
        <v>19770.47</v>
      </c>
      <c r="I287" s="14">
        <f t="shared" si="17"/>
        <v>22.952722222222221</v>
      </c>
      <c r="J287" s="10">
        <v>12</v>
      </c>
      <c r="K287" s="10">
        <v>59</v>
      </c>
      <c r="L287" s="10">
        <v>9.5399999999999991</v>
      </c>
      <c r="M287" s="12">
        <v>-4</v>
      </c>
      <c r="N287" s="12">
        <v>-54</v>
      </c>
      <c r="O287" s="12">
        <v>-51.6</v>
      </c>
      <c r="P287" s="13">
        <f t="shared" si="18"/>
        <v>46749.54</v>
      </c>
      <c r="Q287" s="14">
        <f t="shared" si="19"/>
        <v>-4.9143333333333334</v>
      </c>
    </row>
    <row r="288" spans="1:17" x14ac:dyDescent="0.25">
      <c r="A288" s="9" t="s">
        <v>298</v>
      </c>
      <c r="B288" s="10">
        <v>5</v>
      </c>
      <c r="C288" s="10">
        <v>30</v>
      </c>
      <c r="D288" s="11">
        <v>30.46</v>
      </c>
      <c r="E288" s="12">
        <v>22</v>
      </c>
      <c r="F288" s="12">
        <v>59</v>
      </c>
      <c r="G288" s="12">
        <v>58.2</v>
      </c>
      <c r="H288" s="13">
        <f t="shared" si="16"/>
        <v>19830.46</v>
      </c>
      <c r="I288" s="14">
        <f t="shared" si="17"/>
        <v>22.999500000000001</v>
      </c>
      <c r="J288" s="10">
        <v>13</v>
      </c>
      <c r="K288" s="10">
        <v>3</v>
      </c>
      <c r="L288" s="10">
        <v>46.07</v>
      </c>
      <c r="M288" s="12">
        <v>-5</v>
      </c>
      <c r="N288" s="12">
        <v>-24</v>
      </c>
      <c r="O288" s="12">
        <v>-35.799999999999997</v>
      </c>
      <c r="P288" s="13">
        <f t="shared" si="18"/>
        <v>47026.07</v>
      </c>
      <c r="Q288" s="14">
        <f t="shared" si="19"/>
        <v>-5.4099444444444451</v>
      </c>
    </row>
    <row r="289" spans="1:17" x14ac:dyDescent="0.25">
      <c r="A289" s="9" t="s">
        <v>299</v>
      </c>
      <c r="B289" s="10">
        <v>5</v>
      </c>
      <c r="C289" s="10">
        <v>31</v>
      </c>
      <c r="D289" s="11">
        <v>27.61</v>
      </c>
      <c r="E289" s="12">
        <v>23</v>
      </c>
      <c r="F289" s="12">
        <v>2</v>
      </c>
      <c r="G289" s="12">
        <v>45.3</v>
      </c>
      <c r="H289" s="13">
        <f t="shared" si="16"/>
        <v>19887.61</v>
      </c>
      <c r="I289" s="14">
        <f t="shared" si="17"/>
        <v>23.045916666666667</v>
      </c>
      <c r="J289" s="10">
        <v>13</v>
      </c>
      <c r="K289" s="10">
        <v>8</v>
      </c>
      <c r="L289" s="10">
        <v>23.08</v>
      </c>
      <c r="M289" s="12">
        <v>-5</v>
      </c>
      <c r="N289" s="12">
        <v>-54</v>
      </c>
      <c r="O289" s="12">
        <v>-13.8</v>
      </c>
      <c r="P289" s="13">
        <f t="shared" si="18"/>
        <v>47303.08</v>
      </c>
      <c r="Q289" s="14">
        <f t="shared" si="19"/>
        <v>-5.9038333333333339</v>
      </c>
    </row>
    <row r="290" spans="1:17" x14ac:dyDescent="0.25">
      <c r="A290" s="9" t="s">
        <v>300</v>
      </c>
      <c r="B290" s="10">
        <v>5</v>
      </c>
      <c r="C290" s="10">
        <v>32</v>
      </c>
      <c r="D290" s="11">
        <v>21.87</v>
      </c>
      <c r="E290" s="12">
        <v>23</v>
      </c>
      <c r="F290" s="12">
        <v>5</v>
      </c>
      <c r="G290" s="12">
        <v>31.2</v>
      </c>
      <c r="H290" s="13">
        <f t="shared" si="16"/>
        <v>19941.87</v>
      </c>
      <c r="I290" s="14">
        <f t="shared" si="17"/>
        <v>23.091999999999999</v>
      </c>
      <c r="J290" s="10">
        <v>13</v>
      </c>
      <c r="K290" s="10">
        <v>13</v>
      </c>
      <c r="L290" s="10">
        <v>0.61</v>
      </c>
      <c r="M290" s="12">
        <v>-6</v>
      </c>
      <c r="N290" s="12">
        <v>-23</v>
      </c>
      <c r="O290" s="12">
        <v>-44.7</v>
      </c>
      <c r="P290" s="13">
        <f t="shared" si="18"/>
        <v>47580.61</v>
      </c>
      <c r="Q290" s="14">
        <f t="shared" si="19"/>
        <v>-6.3957500000000005</v>
      </c>
    </row>
    <row r="291" spans="1:17" x14ac:dyDescent="0.25">
      <c r="A291" s="9" t="s">
        <v>301</v>
      </c>
      <c r="B291" s="10">
        <v>5</v>
      </c>
      <c r="C291" s="10">
        <v>33</v>
      </c>
      <c r="D291" s="11">
        <v>13.16</v>
      </c>
      <c r="E291" s="12">
        <v>23</v>
      </c>
      <c r="F291" s="12">
        <v>8</v>
      </c>
      <c r="G291" s="12">
        <v>16.2</v>
      </c>
      <c r="H291" s="13">
        <f t="shared" si="16"/>
        <v>19993.16</v>
      </c>
      <c r="I291" s="14">
        <f t="shared" si="17"/>
        <v>23.137833333333333</v>
      </c>
      <c r="J291" s="10">
        <v>13</v>
      </c>
      <c r="K291" s="10">
        <v>17</v>
      </c>
      <c r="L291" s="10">
        <v>38.71</v>
      </c>
      <c r="M291" s="12">
        <v>-6</v>
      </c>
      <c r="N291" s="12">
        <v>-53</v>
      </c>
      <c r="O291" s="12">
        <v>-7.9</v>
      </c>
      <c r="P291" s="13">
        <f t="shared" si="18"/>
        <v>47858.71</v>
      </c>
      <c r="Q291" s="14">
        <f t="shared" si="19"/>
        <v>-6.885527777777777</v>
      </c>
    </row>
    <row r="292" spans="1:17" x14ac:dyDescent="0.25">
      <c r="A292" s="9" t="s">
        <v>302</v>
      </c>
      <c r="B292" s="10">
        <v>5</v>
      </c>
      <c r="C292" s="10">
        <v>34</v>
      </c>
      <c r="D292" s="11">
        <v>1.42</v>
      </c>
      <c r="E292" s="12">
        <v>23</v>
      </c>
      <c r="F292" s="12">
        <v>11</v>
      </c>
      <c r="G292" s="12">
        <v>0.3</v>
      </c>
      <c r="H292" s="13">
        <f t="shared" si="16"/>
        <v>20041.419999999998</v>
      </c>
      <c r="I292" s="14">
        <f t="shared" si="17"/>
        <v>23.183416666666666</v>
      </c>
      <c r="J292" s="10">
        <v>13</v>
      </c>
      <c r="K292" s="10">
        <v>22</v>
      </c>
      <c r="L292" s="10">
        <v>17.399999999999999</v>
      </c>
      <c r="M292" s="12">
        <v>-7</v>
      </c>
      <c r="N292" s="12">
        <v>-22</v>
      </c>
      <c r="O292" s="12">
        <v>-22.5</v>
      </c>
      <c r="P292" s="13">
        <f t="shared" si="18"/>
        <v>48137.4</v>
      </c>
      <c r="Q292" s="14">
        <f t="shared" si="19"/>
        <v>-7.3729166666666659</v>
      </c>
    </row>
    <row r="293" spans="1:17" x14ac:dyDescent="0.25">
      <c r="A293" s="9" t="s">
        <v>303</v>
      </c>
      <c r="B293" s="10">
        <v>5</v>
      </c>
      <c r="C293" s="10">
        <v>34</v>
      </c>
      <c r="D293" s="11">
        <v>46.59</v>
      </c>
      <c r="E293" s="12">
        <v>23</v>
      </c>
      <c r="F293" s="12">
        <v>13</v>
      </c>
      <c r="G293" s="12">
        <v>43.7</v>
      </c>
      <c r="H293" s="13">
        <f t="shared" si="16"/>
        <v>20086.59</v>
      </c>
      <c r="I293" s="14">
        <f t="shared" si="17"/>
        <v>23.228805555555557</v>
      </c>
      <c r="J293" s="10">
        <v>13</v>
      </c>
      <c r="K293" s="10">
        <v>26</v>
      </c>
      <c r="L293" s="10">
        <v>56.73</v>
      </c>
      <c r="M293" s="12">
        <v>-7</v>
      </c>
      <c r="N293" s="12">
        <v>-51</v>
      </c>
      <c r="O293" s="12">
        <v>-27.7</v>
      </c>
      <c r="P293" s="13">
        <f t="shared" si="18"/>
        <v>48416.73</v>
      </c>
      <c r="Q293" s="14">
        <f t="shared" si="19"/>
        <v>-7.8576944444444443</v>
      </c>
    </row>
    <row r="294" spans="1:17" x14ac:dyDescent="0.25">
      <c r="A294" s="9" t="s">
        <v>304</v>
      </c>
      <c r="B294" s="10">
        <v>5</v>
      </c>
      <c r="C294" s="10">
        <v>35</v>
      </c>
      <c r="D294" s="11">
        <v>28.6</v>
      </c>
      <c r="E294" s="12">
        <v>23</v>
      </c>
      <c r="F294" s="12">
        <v>16</v>
      </c>
      <c r="G294" s="12">
        <v>26.5</v>
      </c>
      <c r="H294" s="13">
        <f t="shared" si="16"/>
        <v>20128.599999999999</v>
      </c>
      <c r="I294" s="14">
        <f t="shared" si="17"/>
        <v>23.274027777777778</v>
      </c>
      <c r="J294" s="10">
        <v>13</v>
      </c>
      <c r="K294" s="10">
        <v>31</v>
      </c>
      <c r="L294" s="10">
        <v>36.74</v>
      </c>
      <c r="M294" s="12">
        <v>-8</v>
      </c>
      <c r="N294" s="12">
        <v>-20</v>
      </c>
      <c r="O294" s="12">
        <v>-22.8</v>
      </c>
      <c r="P294" s="13">
        <f t="shared" si="18"/>
        <v>48696.74</v>
      </c>
      <c r="Q294" s="14">
        <f t="shared" si="19"/>
        <v>-8.3396666666666679</v>
      </c>
    </row>
    <row r="295" spans="1:17" x14ac:dyDescent="0.25">
      <c r="A295" s="9" t="s">
        <v>305</v>
      </c>
      <c r="B295" s="10">
        <v>5</v>
      </c>
      <c r="C295" s="10">
        <v>36</v>
      </c>
      <c r="D295" s="11">
        <v>7.38</v>
      </c>
      <c r="E295" s="12">
        <v>23</v>
      </c>
      <c r="F295" s="12">
        <v>19</v>
      </c>
      <c r="G295" s="12">
        <v>9</v>
      </c>
      <c r="H295" s="13">
        <f t="shared" si="16"/>
        <v>20167.38</v>
      </c>
      <c r="I295" s="14">
        <f t="shared" si="17"/>
        <v>23.319166666666668</v>
      </c>
      <c r="J295" s="10">
        <v>13</v>
      </c>
      <c r="K295" s="10">
        <v>36</v>
      </c>
      <c r="L295" s="10">
        <v>17.46</v>
      </c>
      <c r="M295" s="12">
        <v>-8</v>
      </c>
      <c r="N295" s="12">
        <v>-49</v>
      </c>
      <c r="O295" s="12">
        <v>-7.1</v>
      </c>
      <c r="P295" s="13">
        <f t="shared" si="18"/>
        <v>48977.46</v>
      </c>
      <c r="Q295" s="14">
        <f t="shared" si="19"/>
        <v>-8.8186388888888878</v>
      </c>
    </row>
    <row r="296" spans="1:17" x14ac:dyDescent="0.25">
      <c r="A296" s="9" t="s">
        <v>306</v>
      </c>
      <c r="B296" s="10">
        <v>5</v>
      </c>
      <c r="C296" s="10">
        <v>36</v>
      </c>
      <c r="D296" s="11">
        <v>42.88</v>
      </c>
      <c r="E296" s="12">
        <v>23</v>
      </c>
      <c r="F296" s="12">
        <v>21</v>
      </c>
      <c r="G296" s="12">
        <v>51.1</v>
      </c>
      <c r="H296" s="13">
        <f t="shared" si="16"/>
        <v>20202.88</v>
      </c>
      <c r="I296" s="14">
        <f t="shared" si="17"/>
        <v>23.364194444444443</v>
      </c>
      <c r="J296" s="10">
        <v>13</v>
      </c>
      <c r="K296" s="10">
        <v>40</v>
      </c>
      <c r="L296" s="10">
        <v>58.94</v>
      </c>
      <c r="M296" s="12">
        <v>-9</v>
      </c>
      <c r="N296" s="12">
        <v>-17</v>
      </c>
      <c r="O296" s="12">
        <v>-39.700000000000003</v>
      </c>
      <c r="P296" s="13">
        <f t="shared" si="18"/>
        <v>49258.94</v>
      </c>
      <c r="Q296" s="14">
        <f t="shared" si="19"/>
        <v>-9.2943611111111117</v>
      </c>
    </row>
    <row r="297" spans="1:17" x14ac:dyDescent="0.25">
      <c r="A297" s="9" t="s">
        <v>307</v>
      </c>
      <c r="B297" s="10">
        <v>5</v>
      </c>
      <c r="C297" s="10">
        <v>37</v>
      </c>
      <c r="D297" s="11">
        <v>15.03</v>
      </c>
      <c r="E297" s="12">
        <v>23</v>
      </c>
      <c r="F297" s="12">
        <v>24</v>
      </c>
      <c r="G297" s="12">
        <v>33.1</v>
      </c>
      <c r="H297" s="13">
        <f t="shared" si="16"/>
        <v>20235.03</v>
      </c>
      <c r="I297" s="14">
        <f t="shared" si="17"/>
        <v>23.409194444444445</v>
      </c>
      <c r="J297" s="10">
        <v>13</v>
      </c>
      <c r="K297" s="10">
        <v>45</v>
      </c>
      <c r="L297" s="10">
        <v>41.2</v>
      </c>
      <c r="M297" s="12">
        <v>-9</v>
      </c>
      <c r="N297" s="12">
        <v>-45</v>
      </c>
      <c r="O297" s="12">
        <v>-59.8</v>
      </c>
      <c r="P297" s="13">
        <f t="shared" si="18"/>
        <v>49541.2</v>
      </c>
      <c r="Q297" s="14">
        <f t="shared" si="19"/>
        <v>-9.7666111111111107</v>
      </c>
    </row>
    <row r="298" spans="1:17" x14ac:dyDescent="0.25">
      <c r="A298" s="9" t="s">
        <v>308</v>
      </c>
      <c r="B298" s="10">
        <v>5</v>
      </c>
      <c r="C298" s="10">
        <v>37</v>
      </c>
      <c r="D298" s="11">
        <v>43.78</v>
      </c>
      <c r="E298" s="12">
        <v>23</v>
      </c>
      <c r="F298" s="12">
        <v>27</v>
      </c>
      <c r="G298" s="12">
        <v>15</v>
      </c>
      <c r="H298" s="13">
        <f t="shared" si="16"/>
        <v>20263.78</v>
      </c>
      <c r="I298" s="14">
        <f t="shared" si="17"/>
        <v>23.454166666666666</v>
      </c>
      <c r="J298" s="10">
        <v>13</v>
      </c>
      <c r="K298" s="10">
        <v>50</v>
      </c>
      <c r="L298" s="10">
        <v>24.28</v>
      </c>
      <c r="M298" s="12">
        <v>-10</v>
      </c>
      <c r="N298" s="12">
        <v>-14</v>
      </c>
      <c r="O298" s="12">
        <v>-6.6</v>
      </c>
      <c r="P298" s="13">
        <f t="shared" si="18"/>
        <v>49824.28</v>
      </c>
      <c r="Q298" s="14">
        <f t="shared" si="19"/>
        <v>-10.235166666666666</v>
      </c>
    </row>
    <row r="299" spans="1:17" x14ac:dyDescent="0.25">
      <c r="A299" s="9" t="s">
        <v>309</v>
      </c>
      <c r="B299" s="10">
        <v>5</v>
      </c>
      <c r="C299" s="10">
        <v>38</v>
      </c>
      <c r="D299" s="11">
        <v>9.06</v>
      </c>
      <c r="E299" s="12">
        <v>23</v>
      </c>
      <c r="F299" s="12">
        <v>29</v>
      </c>
      <c r="G299" s="12">
        <v>56.9</v>
      </c>
      <c r="H299" s="13">
        <f t="shared" si="16"/>
        <v>20289.060000000001</v>
      </c>
      <c r="I299" s="14">
        <f t="shared" si="17"/>
        <v>23.49913888888889</v>
      </c>
      <c r="J299" s="10">
        <v>13</v>
      </c>
      <c r="K299" s="10">
        <v>55</v>
      </c>
      <c r="L299" s="10">
        <v>8.2100000000000009</v>
      </c>
      <c r="M299" s="12">
        <v>-10</v>
      </c>
      <c r="N299" s="12">
        <v>-41</v>
      </c>
      <c r="O299" s="12">
        <v>-59.4</v>
      </c>
      <c r="P299" s="13">
        <f t="shared" si="18"/>
        <v>50108.21</v>
      </c>
      <c r="Q299" s="14">
        <f t="shared" si="19"/>
        <v>-10.699833333333334</v>
      </c>
    </row>
    <row r="300" spans="1:17" x14ac:dyDescent="0.25">
      <c r="A300" s="9" t="s">
        <v>310</v>
      </c>
      <c r="B300" s="10">
        <v>5</v>
      </c>
      <c r="C300" s="10">
        <v>38</v>
      </c>
      <c r="D300" s="11">
        <v>30.82</v>
      </c>
      <c r="E300" s="12">
        <v>23</v>
      </c>
      <c r="F300" s="12">
        <v>32</v>
      </c>
      <c r="G300" s="12">
        <v>38.9</v>
      </c>
      <c r="H300" s="13">
        <f t="shared" si="16"/>
        <v>20310.82</v>
      </c>
      <c r="I300" s="14">
        <f t="shared" si="17"/>
        <v>23.544138888888888</v>
      </c>
      <c r="J300" s="10">
        <v>13</v>
      </c>
      <c r="K300" s="10">
        <v>59</v>
      </c>
      <c r="L300" s="10">
        <v>53.03</v>
      </c>
      <c r="M300" s="12">
        <v>-11</v>
      </c>
      <c r="N300" s="12">
        <v>-9</v>
      </c>
      <c r="O300" s="12">
        <v>-37.299999999999997</v>
      </c>
      <c r="P300" s="13">
        <f t="shared" si="18"/>
        <v>50393.03</v>
      </c>
      <c r="Q300" s="14">
        <f t="shared" si="19"/>
        <v>-11.160361111111111</v>
      </c>
    </row>
    <row r="301" spans="1:17" x14ac:dyDescent="0.25">
      <c r="A301" s="9" t="s">
        <v>311</v>
      </c>
      <c r="B301" s="10">
        <v>5</v>
      </c>
      <c r="C301" s="10">
        <v>38</v>
      </c>
      <c r="D301" s="11">
        <v>49.02</v>
      </c>
      <c r="E301" s="12">
        <v>23</v>
      </c>
      <c r="F301" s="12">
        <v>35</v>
      </c>
      <c r="G301" s="12">
        <v>21</v>
      </c>
      <c r="H301" s="13">
        <f t="shared" si="16"/>
        <v>20329.02</v>
      </c>
      <c r="I301" s="14">
        <f t="shared" si="17"/>
        <v>23.589166666666667</v>
      </c>
      <c r="J301" s="10">
        <v>14</v>
      </c>
      <c r="K301" s="10">
        <v>4</v>
      </c>
      <c r="L301" s="10">
        <v>38.770000000000003</v>
      </c>
      <c r="M301" s="12">
        <v>-11</v>
      </c>
      <c r="N301" s="12">
        <v>-36</v>
      </c>
      <c r="O301" s="12">
        <v>-59.6</v>
      </c>
      <c r="P301" s="13">
        <f t="shared" si="18"/>
        <v>50678.77</v>
      </c>
      <c r="Q301" s="14">
        <f t="shared" si="19"/>
        <v>-11.616555555555555</v>
      </c>
    </row>
    <row r="302" spans="1:17" x14ac:dyDescent="0.25">
      <c r="A302" s="9" t="s">
        <v>312</v>
      </c>
      <c r="B302" s="10">
        <v>5</v>
      </c>
      <c r="C302" s="10">
        <v>39</v>
      </c>
      <c r="D302" s="11">
        <v>3.6</v>
      </c>
      <c r="E302" s="12">
        <v>23</v>
      </c>
      <c r="F302" s="12">
        <v>38</v>
      </c>
      <c r="G302" s="12">
        <v>3.4</v>
      </c>
      <c r="H302" s="13">
        <f t="shared" si="16"/>
        <v>20343.599999999999</v>
      </c>
      <c r="I302" s="14">
        <f t="shared" si="17"/>
        <v>23.634277777777779</v>
      </c>
      <c r="J302" s="10">
        <v>14</v>
      </c>
      <c r="K302" s="10">
        <v>9</v>
      </c>
      <c r="L302" s="10">
        <v>25.45</v>
      </c>
      <c r="M302" s="12">
        <v>-12</v>
      </c>
      <c r="N302" s="12">
        <v>-4</v>
      </c>
      <c r="O302" s="12">
        <v>-5.3</v>
      </c>
      <c r="P302" s="13">
        <f t="shared" si="18"/>
        <v>50965.45</v>
      </c>
      <c r="Q302" s="14">
        <f t="shared" si="19"/>
        <v>-12.068138888888889</v>
      </c>
    </row>
    <row r="303" spans="1:17" x14ac:dyDescent="0.25">
      <c r="A303" s="9" t="s">
        <v>313</v>
      </c>
      <c r="B303" s="10">
        <v>5</v>
      </c>
      <c r="C303" s="10">
        <v>39</v>
      </c>
      <c r="D303" s="11">
        <v>14.53</v>
      </c>
      <c r="E303" s="12">
        <v>23</v>
      </c>
      <c r="F303" s="12">
        <v>40</v>
      </c>
      <c r="G303" s="12">
        <v>46</v>
      </c>
      <c r="H303" s="13">
        <f t="shared" si="16"/>
        <v>20354.53</v>
      </c>
      <c r="I303" s="14">
        <f t="shared" si="17"/>
        <v>23.679444444444446</v>
      </c>
      <c r="J303" s="10">
        <v>14</v>
      </c>
      <c r="K303" s="10">
        <v>14</v>
      </c>
      <c r="L303" s="10">
        <v>13.1</v>
      </c>
      <c r="M303" s="12">
        <v>-12</v>
      </c>
      <c r="N303" s="12">
        <v>-30</v>
      </c>
      <c r="O303" s="12">
        <v>-53.8</v>
      </c>
      <c r="P303" s="13">
        <f t="shared" si="18"/>
        <v>51253.1</v>
      </c>
      <c r="Q303" s="14">
        <f t="shared" si="19"/>
        <v>-12.514944444444444</v>
      </c>
    </row>
    <row r="304" spans="1:17" x14ac:dyDescent="0.25">
      <c r="A304" s="9" t="s">
        <v>314</v>
      </c>
      <c r="B304" s="10">
        <v>5</v>
      </c>
      <c r="C304" s="10">
        <v>39</v>
      </c>
      <c r="D304" s="11">
        <v>21.76</v>
      </c>
      <c r="E304" s="12">
        <v>23</v>
      </c>
      <c r="F304" s="12">
        <v>43</v>
      </c>
      <c r="G304" s="12">
        <v>28.9</v>
      </c>
      <c r="H304" s="13">
        <f t="shared" si="16"/>
        <v>20361.759999999998</v>
      </c>
      <c r="I304" s="14">
        <f t="shared" si="17"/>
        <v>23.724694444444445</v>
      </c>
      <c r="J304" s="10">
        <v>14</v>
      </c>
      <c r="K304" s="10">
        <v>19</v>
      </c>
      <c r="L304" s="10">
        <v>1.75</v>
      </c>
      <c r="M304" s="12">
        <v>-12</v>
      </c>
      <c r="N304" s="12">
        <v>-57</v>
      </c>
      <c r="O304" s="12">
        <v>-24.1</v>
      </c>
      <c r="P304" s="13">
        <f t="shared" si="18"/>
        <v>51541.75</v>
      </c>
      <c r="Q304" s="14">
        <f t="shared" si="19"/>
        <v>-12.956694444444445</v>
      </c>
    </row>
    <row r="305" spans="1:17" x14ac:dyDescent="0.25">
      <c r="A305" s="9" t="s">
        <v>315</v>
      </c>
      <c r="B305" s="10">
        <v>5</v>
      </c>
      <c r="C305" s="10">
        <v>39</v>
      </c>
      <c r="D305" s="11">
        <v>25.27</v>
      </c>
      <c r="E305" s="12">
        <v>23</v>
      </c>
      <c r="F305" s="12">
        <v>46</v>
      </c>
      <c r="G305" s="12">
        <v>12</v>
      </c>
      <c r="H305" s="13">
        <f t="shared" si="16"/>
        <v>20365.27</v>
      </c>
      <c r="I305" s="14">
        <f t="shared" si="17"/>
        <v>23.77</v>
      </c>
      <c r="J305" s="10">
        <v>14</v>
      </c>
      <c r="K305" s="10">
        <v>23</v>
      </c>
      <c r="L305" s="10">
        <v>51.42</v>
      </c>
      <c r="M305" s="12">
        <v>-13</v>
      </c>
      <c r="N305" s="12">
        <v>-23</v>
      </c>
      <c r="O305" s="12">
        <v>-35.4</v>
      </c>
      <c r="P305" s="13">
        <f t="shared" si="18"/>
        <v>51831.42</v>
      </c>
      <c r="Q305" s="14">
        <f t="shared" si="19"/>
        <v>-13.393166666666666</v>
      </c>
    </row>
    <row r="306" spans="1:17" x14ac:dyDescent="0.25">
      <c r="A306" s="9" t="s">
        <v>316</v>
      </c>
      <c r="B306" s="10">
        <v>5</v>
      </c>
      <c r="C306" s="10">
        <v>39</v>
      </c>
      <c r="D306" s="11">
        <v>25.03</v>
      </c>
      <c r="E306" s="12">
        <v>23</v>
      </c>
      <c r="F306" s="12">
        <v>48</v>
      </c>
      <c r="G306" s="12">
        <v>55.4</v>
      </c>
      <c r="H306" s="13">
        <f t="shared" si="16"/>
        <v>20365.03</v>
      </c>
      <c r="I306" s="14">
        <f t="shared" si="17"/>
        <v>23.81538888888889</v>
      </c>
      <c r="J306" s="10">
        <v>14</v>
      </c>
      <c r="K306" s="10">
        <v>28</v>
      </c>
      <c r="L306" s="10">
        <v>42.14</v>
      </c>
      <c r="M306" s="12">
        <v>-13</v>
      </c>
      <c r="N306" s="12">
        <v>-49</v>
      </c>
      <c r="O306" s="12">
        <v>-27.1</v>
      </c>
      <c r="P306" s="13">
        <f t="shared" si="18"/>
        <v>52122.14</v>
      </c>
      <c r="Q306" s="14">
        <f t="shared" si="19"/>
        <v>-13.824194444444444</v>
      </c>
    </row>
    <row r="307" spans="1:17" x14ac:dyDescent="0.25">
      <c r="A307" s="9" t="s">
        <v>317</v>
      </c>
      <c r="B307" s="10">
        <v>5</v>
      </c>
      <c r="C307" s="10">
        <v>39</v>
      </c>
      <c r="D307" s="11">
        <v>21.01</v>
      </c>
      <c r="E307" s="12">
        <v>23</v>
      </c>
      <c r="F307" s="12">
        <v>51</v>
      </c>
      <c r="G307" s="12">
        <v>39</v>
      </c>
      <c r="H307" s="13">
        <f t="shared" si="16"/>
        <v>20361.009999999998</v>
      </c>
      <c r="I307" s="14">
        <f t="shared" si="17"/>
        <v>23.860833333333332</v>
      </c>
      <c r="J307" s="10">
        <v>14</v>
      </c>
      <c r="K307" s="10">
        <v>33</v>
      </c>
      <c r="L307" s="10">
        <v>33.94</v>
      </c>
      <c r="M307" s="12">
        <v>-14</v>
      </c>
      <c r="N307" s="12">
        <v>-14</v>
      </c>
      <c r="O307" s="12">
        <v>-58.1</v>
      </c>
      <c r="P307" s="13">
        <f t="shared" si="18"/>
        <v>52413.94</v>
      </c>
      <c r="Q307" s="14">
        <f t="shared" si="19"/>
        <v>-14.249472222222222</v>
      </c>
    </row>
    <row r="308" spans="1:17" x14ac:dyDescent="0.25">
      <c r="A308" s="9" t="s">
        <v>318</v>
      </c>
      <c r="B308" s="10">
        <v>5</v>
      </c>
      <c r="C308" s="10">
        <v>39</v>
      </c>
      <c r="D308" s="11">
        <v>13.19</v>
      </c>
      <c r="E308" s="12">
        <v>23</v>
      </c>
      <c r="F308" s="12">
        <v>54</v>
      </c>
      <c r="G308" s="12">
        <v>22.7</v>
      </c>
      <c r="H308" s="13">
        <f t="shared" si="16"/>
        <v>20353.189999999999</v>
      </c>
      <c r="I308" s="14">
        <f t="shared" si="17"/>
        <v>23.906305555555555</v>
      </c>
      <c r="J308" s="10">
        <v>14</v>
      </c>
      <c r="K308" s="10">
        <v>38</v>
      </c>
      <c r="L308" s="10">
        <v>26.83</v>
      </c>
      <c r="M308" s="12">
        <v>-14</v>
      </c>
      <c r="N308" s="12">
        <v>-40</v>
      </c>
      <c r="O308" s="12">
        <v>-7.8</v>
      </c>
      <c r="P308" s="13">
        <f t="shared" si="18"/>
        <v>52706.83</v>
      </c>
      <c r="Q308" s="14">
        <f t="shared" si="19"/>
        <v>-14.668833333333334</v>
      </c>
    </row>
    <row r="309" spans="1:17" x14ac:dyDescent="0.25">
      <c r="A309" s="9" t="s">
        <v>319</v>
      </c>
      <c r="B309" s="10">
        <v>5</v>
      </c>
      <c r="C309" s="10">
        <v>39</v>
      </c>
      <c r="D309" s="11">
        <v>1.55</v>
      </c>
      <c r="E309" s="12">
        <v>23</v>
      </c>
      <c r="F309" s="12">
        <v>57</v>
      </c>
      <c r="G309" s="12">
        <v>6.4</v>
      </c>
      <c r="H309" s="13">
        <f t="shared" si="16"/>
        <v>20341.55</v>
      </c>
      <c r="I309" s="14">
        <f t="shared" si="17"/>
        <v>23.951777777777778</v>
      </c>
      <c r="J309" s="10">
        <v>14</v>
      </c>
      <c r="K309" s="10">
        <v>43</v>
      </c>
      <c r="L309" s="10">
        <v>20.83</v>
      </c>
      <c r="M309" s="12">
        <v>-15</v>
      </c>
      <c r="N309" s="12">
        <v>-4</v>
      </c>
      <c r="O309" s="12">
        <v>-55.3</v>
      </c>
      <c r="P309" s="13">
        <f t="shared" si="18"/>
        <v>53000.83</v>
      </c>
      <c r="Q309" s="14">
        <f t="shared" si="19"/>
        <v>-15.082027777777778</v>
      </c>
    </row>
    <row r="310" spans="1:17" x14ac:dyDescent="0.25">
      <c r="A310" s="9" t="s">
        <v>320</v>
      </c>
      <c r="B310" s="10">
        <v>5</v>
      </c>
      <c r="C310" s="10">
        <v>38</v>
      </c>
      <c r="D310" s="11">
        <v>46.08</v>
      </c>
      <c r="E310" s="12">
        <v>23</v>
      </c>
      <c r="F310" s="12">
        <v>59</v>
      </c>
      <c r="G310" s="12">
        <v>50.1</v>
      </c>
      <c r="H310" s="13">
        <f t="shared" si="16"/>
        <v>20326.080000000002</v>
      </c>
      <c r="I310" s="14">
        <f t="shared" si="17"/>
        <v>23.997250000000001</v>
      </c>
      <c r="J310" s="10">
        <v>14</v>
      </c>
      <c r="K310" s="10">
        <v>48</v>
      </c>
      <c r="L310" s="10">
        <v>15.97</v>
      </c>
      <c r="M310" s="12">
        <v>-15</v>
      </c>
      <c r="N310" s="12">
        <v>-29</v>
      </c>
      <c r="O310" s="12">
        <v>-19.899999999999999</v>
      </c>
      <c r="P310" s="13">
        <f t="shared" si="18"/>
        <v>53295.97</v>
      </c>
      <c r="Q310" s="14">
        <f t="shared" si="19"/>
        <v>-15.48886111111111</v>
      </c>
    </row>
    <row r="311" spans="1:17" x14ac:dyDescent="0.25">
      <c r="A311" s="9" t="s">
        <v>321</v>
      </c>
      <c r="B311" s="10">
        <v>5</v>
      </c>
      <c r="C311" s="10">
        <v>38</v>
      </c>
      <c r="D311" s="11">
        <v>26.75</v>
      </c>
      <c r="E311" s="12">
        <v>24</v>
      </c>
      <c r="F311" s="12">
        <v>2</v>
      </c>
      <c r="G311" s="12">
        <v>33.4</v>
      </c>
      <c r="H311" s="13">
        <f t="shared" si="16"/>
        <v>20306.75</v>
      </c>
      <c r="I311" s="14">
        <f t="shared" si="17"/>
        <v>24.04261111111111</v>
      </c>
      <c r="J311" s="10">
        <v>14</v>
      </c>
      <c r="K311" s="10">
        <v>53</v>
      </c>
      <c r="L311" s="10">
        <v>12.27</v>
      </c>
      <c r="M311" s="12">
        <v>-15</v>
      </c>
      <c r="N311" s="12">
        <v>-53</v>
      </c>
      <c r="O311" s="12">
        <v>-20.7</v>
      </c>
      <c r="P311" s="13">
        <f t="shared" si="18"/>
        <v>53592.27</v>
      </c>
      <c r="Q311" s="14">
        <f t="shared" si="19"/>
        <v>-15.889083333333334</v>
      </c>
    </row>
    <row r="312" spans="1:17" x14ac:dyDescent="0.25">
      <c r="A312" s="9" t="s">
        <v>322</v>
      </c>
      <c r="B312" s="10">
        <v>5</v>
      </c>
      <c r="C312" s="10">
        <v>38</v>
      </c>
      <c r="D312" s="11">
        <v>3.57</v>
      </c>
      <c r="E312" s="12">
        <v>24</v>
      </c>
      <c r="F312" s="12">
        <v>5</v>
      </c>
      <c r="G312" s="12">
        <v>16.3</v>
      </c>
      <c r="H312" s="13">
        <f t="shared" si="16"/>
        <v>20283.57</v>
      </c>
      <c r="I312" s="14">
        <f t="shared" si="17"/>
        <v>24.08786111111111</v>
      </c>
      <c r="J312" s="10">
        <v>14</v>
      </c>
      <c r="K312" s="10">
        <v>58</v>
      </c>
      <c r="L312" s="10">
        <v>9.74</v>
      </c>
      <c r="M312" s="12">
        <v>-16</v>
      </c>
      <c r="N312" s="12">
        <v>-16</v>
      </c>
      <c r="O312" s="12">
        <v>-56.9</v>
      </c>
      <c r="P312" s="13">
        <f t="shared" si="18"/>
        <v>53889.74</v>
      </c>
      <c r="Q312" s="14">
        <f t="shared" si="19"/>
        <v>-16.282472222222221</v>
      </c>
    </row>
    <row r="313" spans="1:17" x14ac:dyDescent="0.25">
      <c r="A313" s="9" t="s">
        <v>323</v>
      </c>
      <c r="B313" s="10">
        <v>5</v>
      </c>
      <c r="C313" s="10">
        <v>37</v>
      </c>
      <c r="D313" s="11">
        <v>36.520000000000003</v>
      </c>
      <c r="E313" s="12">
        <v>24</v>
      </c>
      <c r="F313" s="12">
        <v>7</v>
      </c>
      <c r="G313" s="12">
        <v>58.6</v>
      </c>
      <c r="H313" s="13">
        <f t="shared" si="16"/>
        <v>20256.52</v>
      </c>
      <c r="I313" s="14">
        <f t="shared" si="17"/>
        <v>24.132944444444444</v>
      </c>
      <c r="J313" s="10">
        <v>15</v>
      </c>
      <c r="K313" s="10">
        <v>3</v>
      </c>
      <c r="L313" s="10">
        <v>8.4</v>
      </c>
      <c r="M313" s="12">
        <v>-16</v>
      </c>
      <c r="N313" s="12">
        <v>-40</v>
      </c>
      <c r="O313" s="12">
        <v>-7.9</v>
      </c>
      <c r="P313" s="13">
        <f t="shared" si="18"/>
        <v>54188.4</v>
      </c>
      <c r="Q313" s="14">
        <f t="shared" si="19"/>
        <v>-16.668861111111113</v>
      </c>
    </row>
    <row r="314" spans="1:17" x14ac:dyDescent="0.25">
      <c r="A314" s="9" t="s">
        <v>324</v>
      </c>
      <c r="B314" s="10">
        <v>5</v>
      </c>
      <c r="C314" s="10">
        <v>37</v>
      </c>
      <c r="D314" s="11">
        <v>5.59</v>
      </c>
      <c r="E314" s="12">
        <v>24</v>
      </c>
      <c r="F314" s="12">
        <v>10</v>
      </c>
      <c r="G314" s="12">
        <v>40</v>
      </c>
      <c r="H314" s="13">
        <f t="shared" si="16"/>
        <v>20225.59</v>
      </c>
      <c r="I314" s="14">
        <f t="shared" si="17"/>
        <v>24.177777777777777</v>
      </c>
      <c r="J314" s="10">
        <v>15</v>
      </c>
      <c r="K314" s="10">
        <v>8</v>
      </c>
      <c r="L314" s="10">
        <v>8.26</v>
      </c>
      <c r="M314" s="12">
        <v>-17</v>
      </c>
      <c r="N314" s="12">
        <v>-2</v>
      </c>
      <c r="O314" s="12">
        <v>-52.7</v>
      </c>
      <c r="P314" s="13">
        <f t="shared" si="18"/>
        <v>54488.26</v>
      </c>
      <c r="Q314" s="14">
        <f t="shared" si="19"/>
        <v>-17.047972222222224</v>
      </c>
    </row>
    <row r="315" spans="1:17" x14ac:dyDescent="0.25">
      <c r="A315" s="9" t="s">
        <v>325</v>
      </c>
      <c r="B315" s="10">
        <v>5</v>
      </c>
      <c r="C315" s="10">
        <v>36</v>
      </c>
      <c r="D315" s="11">
        <v>30.8</v>
      </c>
      <c r="E315" s="12">
        <v>24</v>
      </c>
      <c r="F315" s="12">
        <v>13</v>
      </c>
      <c r="G315" s="12">
        <v>20.3</v>
      </c>
      <c r="H315" s="13">
        <f t="shared" si="16"/>
        <v>20190.8</v>
      </c>
      <c r="I315" s="14">
        <f t="shared" si="17"/>
        <v>24.222305555555554</v>
      </c>
      <c r="J315" s="10">
        <v>15</v>
      </c>
      <c r="K315" s="10">
        <v>13</v>
      </c>
      <c r="L315" s="10">
        <v>9.33</v>
      </c>
      <c r="M315" s="12">
        <v>-17</v>
      </c>
      <c r="N315" s="12">
        <v>-25</v>
      </c>
      <c r="O315" s="12">
        <v>-10.6</v>
      </c>
      <c r="P315" s="13">
        <f t="shared" si="18"/>
        <v>54789.33</v>
      </c>
      <c r="Q315" s="14">
        <f t="shared" si="19"/>
        <v>-17.419611111111113</v>
      </c>
    </row>
    <row r="316" spans="1:17" x14ac:dyDescent="0.25">
      <c r="A316" s="9" t="s">
        <v>326</v>
      </c>
      <c r="B316" s="10">
        <v>5</v>
      </c>
      <c r="C316" s="10">
        <v>35</v>
      </c>
      <c r="D316" s="11">
        <v>52.16</v>
      </c>
      <c r="E316" s="12">
        <v>24</v>
      </c>
      <c r="F316" s="12">
        <v>15</v>
      </c>
      <c r="G316" s="12">
        <v>59.2</v>
      </c>
      <c r="H316" s="13">
        <f t="shared" si="16"/>
        <v>20152.16</v>
      </c>
      <c r="I316" s="14">
        <f t="shared" si="17"/>
        <v>24.266444444444446</v>
      </c>
      <c r="J316" s="10">
        <v>15</v>
      </c>
      <c r="K316" s="10">
        <v>18</v>
      </c>
      <c r="L316" s="10">
        <v>11.63</v>
      </c>
      <c r="M316" s="12">
        <v>-17</v>
      </c>
      <c r="N316" s="12">
        <v>-47</v>
      </c>
      <c r="O316" s="12">
        <v>-0.8</v>
      </c>
      <c r="P316" s="13">
        <f t="shared" si="18"/>
        <v>55091.63</v>
      </c>
      <c r="Q316" s="14">
        <f t="shared" si="19"/>
        <v>-17.783555555555559</v>
      </c>
    </row>
    <row r="317" spans="1:17" x14ac:dyDescent="0.25">
      <c r="A317" s="9" t="s">
        <v>327</v>
      </c>
      <c r="B317" s="10">
        <v>5</v>
      </c>
      <c r="C317" s="10">
        <v>35</v>
      </c>
      <c r="D317" s="11">
        <v>9.66</v>
      </c>
      <c r="E317" s="12">
        <v>24</v>
      </c>
      <c r="F317" s="12">
        <v>18</v>
      </c>
      <c r="G317" s="12">
        <v>36.299999999999997</v>
      </c>
      <c r="H317" s="13">
        <f t="shared" si="16"/>
        <v>20109.66</v>
      </c>
      <c r="I317" s="14">
        <f t="shared" si="17"/>
        <v>24.310083333333335</v>
      </c>
      <c r="J317" s="10">
        <v>15</v>
      </c>
      <c r="K317" s="10">
        <v>23</v>
      </c>
      <c r="L317" s="10">
        <v>15.16</v>
      </c>
      <c r="M317" s="12">
        <v>-18</v>
      </c>
      <c r="N317" s="12">
        <v>-8</v>
      </c>
      <c r="O317" s="12">
        <v>-22.6</v>
      </c>
      <c r="P317" s="13">
        <f t="shared" si="18"/>
        <v>55395.16</v>
      </c>
      <c r="Q317" s="14">
        <f t="shared" si="19"/>
        <v>-18.139611111111112</v>
      </c>
    </row>
    <row r="318" spans="1:17" x14ac:dyDescent="0.25">
      <c r="A318" s="9" t="s">
        <v>328</v>
      </c>
      <c r="B318" s="10">
        <v>5</v>
      </c>
      <c r="C318" s="10">
        <v>34</v>
      </c>
      <c r="D318" s="11">
        <v>23.36</v>
      </c>
      <c r="E318" s="12">
        <v>24</v>
      </c>
      <c r="F318" s="12">
        <v>21</v>
      </c>
      <c r="G318" s="12">
        <v>11.5</v>
      </c>
      <c r="H318" s="13">
        <f t="shared" si="16"/>
        <v>20063.36</v>
      </c>
      <c r="I318" s="14">
        <f t="shared" si="17"/>
        <v>24.353194444444444</v>
      </c>
      <c r="J318" s="10">
        <v>15</v>
      </c>
      <c r="K318" s="10">
        <v>28</v>
      </c>
      <c r="L318" s="10">
        <v>19.93</v>
      </c>
      <c r="M318" s="12">
        <v>-18</v>
      </c>
      <c r="N318" s="12">
        <v>-29</v>
      </c>
      <c r="O318" s="12">
        <v>-15.2</v>
      </c>
      <c r="P318" s="13">
        <f t="shared" si="18"/>
        <v>55699.93</v>
      </c>
      <c r="Q318" s="14">
        <f t="shared" si="19"/>
        <v>-18.487555555555556</v>
      </c>
    </row>
    <row r="319" spans="1:17" x14ac:dyDescent="0.25">
      <c r="A319" s="9" t="s">
        <v>329</v>
      </c>
      <c r="B319" s="10">
        <v>5</v>
      </c>
      <c r="C319" s="10">
        <v>33</v>
      </c>
      <c r="D319" s="11">
        <v>33.26</v>
      </c>
      <c r="E319" s="12">
        <v>24</v>
      </c>
      <c r="F319" s="12">
        <v>23</v>
      </c>
      <c r="G319" s="12">
        <v>44.2</v>
      </c>
      <c r="H319" s="13">
        <f t="shared" si="16"/>
        <v>20013.259999999998</v>
      </c>
      <c r="I319" s="14">
        <f t="shared" si="17"/>
        <v>24.395611111111112</v>
      </c>
      <c r="J319" s="10">
        <v>15</v>
      </c>
      <c r="K319" s="10">
        <v>33</v>
      </c>
      <c r="L319" s="10">
        <v>25.93</v>
      </c>
      <c r="M319" s="12">
        <v>-18</v>
      </c>
      <c r="N319" s="12">
        <v>-49</v>
      </c>
      <c r="O319" s="12">
        <v>-37.799999999999997</v>
      </c>
      <c r="P319" s="13">
        <f t="shared" si="18"/>
        <v>56005.93</v>
      </c>
      <c r="Q319" s="14">
        <f t="shared" si="19"/>
        <v>-18.827166666666667</v>
      </c>
    </row>
    <row r="320" spans="1:17" x14ac:dyDescent="0.25">
      <c r="A320" s="9" t="s">
        <v>330</v>
      </c>
      <c r="B320" s="10">
        <v>5</v>
      </c>
      <c r="C320" s="10">
        <v>32</v>
      </c>
      <c r="D320" s="11">
        <v>39.42</v>
      </c>
      <c r="E320" s="12">
        <v>24</v>
      </c>
      <c r="F320" s="12">
        <v>26</v>
      </c>
      <c r="G320" s="12">
        <v>14.3</v>
      </c>
      <c r="H320" s="13">
        <f t="shared" si="16"/>
        <v>19959.419999999998</v>
      </c>
      <c r="I320" s="14">
        <f t="shared" si="17"/>
        <v>24.437305555555554</v>
      </c>
      <c r="J320" s="10">
        <v>15</v>
      </c>
      <c r="K320" s="10">
        <v>38</v>
      </c>
      <c r="L320" s="10">
        <v>33.17</v>
      </c>
      <c r="M320" s="12">
        <v>-19</v>
      </c>
      <c r="N320" s="12">
        <v>-9</v>
      </c>
      <c r="O320" s="12">
        <v>-29.7</v>
      </c>
      <c r="P320" s="13">
        <f t="shared" si="18"/>
        <v>56313.17</v>
      </c>
      <c r="Q320" s="14">
        <f t="shared" si="19"/>
        <v>-19.158249999999999</v>
      </c>
    </row>
    <row r="321" spans="1:17" x14ac:dyDescent="0.25">
      <c r="A321" s="9" t="s">
        <v>331</v>
      </c>
      <c r="B321" s="10">
        <v>5</v>
      </c>
      <c r="C321" s="10">
        <v>31</v>
      </c>
      <c r="D321" s="11">
        <v>41.89</v>
      </c>
      <c r="E321" s="12">
        <v>24</v>
      </c>
      <c r="F321" s="12">
        <v>28</v>
      </c>
      <c r="G321" s="12">
        <v>41.2</v>
      </c>
      <c r="H321" s="13">
        <f t="shared" si="16"/>
        <v>19901.89</v>
      </c>
      <c r="I321" s="14">
        <f t="shared" si="17"/>
        <v>24.478111111111112</v>
      </c>
      <c r="J321" s="10">
        <v>15</v>
      </c>
      <c r="K321" s="10">
        <v>43</v>
      </c>
      <c r="L321" s="10">
        <v>41.65</v>
      </c>
      <c r="M321" s="12">
        <v>-19</v>
      </c>
      <c r="N321" s="12">
        <v>-28</v>
      </c>
      <c r="O321" s="12">
        <v>-50</v>
      </c>
      <c r="P321" s="13">
        <f t="shared" si="18"/>
        <v>56621.65</v>
      </c>
      <c r="Q321" s="14">
        <f t="shared" si="19"/>
        <v>-19.480555555555554</v>
      </c>
    </row>
    <row r="322" spans="1:17" x14ac:dyDescent="0.25">
      <c r="A322" s="9" t="s">
        <v>332</v>
      </c>
      <c r="B322" s="10">
        <v>5</v>
      </c>
      <c r="C322" s="10">
        <v>30</v>
      </c>
      <c r="D322" s="11">
        <v>40.74</v>
      </c>
      <c r="E322" s="12">
        <v>24</v>
      </c>
      <c r="F322" s="12">
        <v>31</v>
      </c>
      <c r="G322" s="12">
        <v>4.7</v>
      </c>
      <c r="H322" s="13">
        <f t="shared" si="16"/>
        <v>19840.740000000002</v>
      </c>
      <c r="I322" s="14">
        <f t="shared" si="17"/>
        <v>24.517972222222223</v>
      </c>
      <c r="J322" s="10">
        <v>15</v>
      </c>
      <c r="K322" s="10">
        <v>48</v>
      </c>
      <c r="L322" s="10">
        <v>51.36</v>
      </c>
      <c r="M322" s="12">
        <v>-19</v>
      </c>
      <c r="N322" s="12">
        <v>-47</v>
      </c>
      <c r="O322" s="12">
        <v>-38.1</v>
      </c>
      <c r="P322" s="13">
        <f t="shared" si="18"/>
        <v>56931.360000000001</v>
      </c>
      <c r="Q322" s="14">
        <f t="shared" si="19"/>
        <v>-19.793916666666668</v>
      </c>
    </row>
    <row r="323" spans="1:17" x14ac:dyDescent="0.25">
      <c r="A323" s="9" t="s">
        <v>333</v>
      </c>
      <c r="B323" s="10">
        <v>5</v>
      </c>
      <c r="C323" s="10">
        <v>29</v>
      </c>
      <c r="D323" s="11">
        <v>36.020000000000003</v>
      </c>
      <c r="E323" s="12">
        <v>24</v>
      </c>
      <c r="F323" s="12">
        <v>33</v>
      </c>
      <c r="G323" s="12">
        <v>24.3</v>
      </c>
      <c r="H323" s="13">
        <f t="shared" si="16"/>
        <v>19776.02</v>
      </c>
      <c r="I323" s="14">
        <f t="shared" si="17"/>
        <v>24.556750000000001</v>
      </c>
      <c r="J323" s="10">
        <v>15</v>
      </c>
      <c r="K323" s="10">
        <v>54</v>
      </c>
      <c r="L323" s="10">
        <v>2.2799999999999998</v>
      </c>
      <c r="M323" s="12">
        <v>-20</v>
      </c>
      <c r="N323" s="12">
        <v>-5</v>
      </c>
      <c r="O323" s="12">
        <v>-53.3</v>
      </c>
      <c r="P323" s="13">
        <f t="shared" si="18"/>
        <v>57242.28</v>
      </c>
      <c r="Q323" s="14">
        <f t="shared" si="19"/>
        <v>-20.098138888888887</v>
      </c>
    </row>
    <row r="324" spans="1:17" x14ac:dyDescent="0.25">
      <c r="A324" s="9" t="s">
        <v>334</v>
      </c>
      <c r="B324" s="10">
        <v>5</v>
      </c>
      <c r="C324" s="10">
        <v>28</v>
      </c>
      <c r="D324" s="11">
        <v>27.84</v>
      </c>
      <c r="E324" s="12">
        <v>24</v>
      </c>
      <c r="F324" s="12">
        <v>35</v>
      </c>
      <c r="G324" s="12">
        <v>39.700000000000003</v>
      </c>
      <c r="H324" s="13">
        <f t="shared" ref="H324:H367" si="20">B324*3600+C324*60+D324</f>
        <v>19707.84</v>
      </c>
      <c r="I324" s="14">
        <f t="shared" ref="I324:I367" si="21">F324/60+G324/3600+E324</f>
        <v>24.594361111111112</v>
      </c>
      <c r="J324" s="10">
        <v>15</v>
      </c>
      <c r="K324" s="10">
        <v>59</v>
      </c>
      <c r="L324" s="10">
        <v>14.41</v>
      </c>
      <c r="M324" s="12">
        <v>-20</v>
      </c>
      <c r="N324" s="12">
        <v>-23</v>
      </c>
      <c r="O324" s="12">
        <v>-34.700000000000003</v>
      </c>
      <c r="P324" s="13">
        <f t="shared" ref="P324:P367" si="22">J324*3600+K324*60+L324</f>
        <v>57554.41</v>
      </c>
      <c r="Q324" s="14">
        <f t="shared" ref="Q324:Q367" si="23">M324+N324/60+O324/3600</f>
        <v>-20.392972222222223</v>
      </c>
    </row>
    <row r="325" spans="1:17" x14ac:dyDescent="0.25">
      <c r="A325" s="9" t="s">
        <v>335</v>
      </c>
      <c r="B325" s="10">
        <v>5</v>
      </c>
      <c r="C325" s="10">
        <v>27</v>
      </c>
      <c r="D325" s="11">
        <v>16.29</v>
      </c>
      <c r="E325" s="12">
        <v>24</v>
      </c>
      <c r="F325" s="12">
        <v>37</v>
      </c>
      <c r="G325" s="12">
        <v>50.4</v>
      </c>
      <c r="H325" s="13">
        <f t="shared" si="20"/>
        <v>19636.29</v>
      </c>
      <c r="I325" s="14">
        <f t="shared" si="21"/>
        <v>24.630666666666666</v>
      </c>
      <c r="J325" s="10">
        <v>16</v>
      </c>
      <c r="K325" s="10">
        <v>4</v>
      </c>
      <c r="L325" s="10">
        <v>27.74</v>
      </c>
      <c r="M325" s="12">
        <v>-20</v>
      </c>
      <c r="N325" s="12">
        <v>-40</v>
      </c>
      <c r="O325" s="12">
        <v>-41.7</v>
      </c>
      <c r="P325" s="13">
        <f t="shared" si="22"/>
        <v>57867.74</v>
      </c>
      <c r="Q325" s="14">
        <f t="shared" si="23"/>
        <v>-20.678250000000002</v>
      </c>
    </row>
    <row r="326" spans="1:17" x14ac:dyDescent="0.25">
      <c r="A326" s="9" t="s">
        <v>336</v>
      </c>
      <c r="B326" s="10">
        <v>5</v>
      </c>
      <c r="C326" s="10">
        <v>26</v>
      </c>
      <c r="D326" s="11">
        <v>1.48</v>
      </c>
      <c r="E326" s="12">
        <v>24</v>
      </c>
      <c r="F326" s="12">
        <v>39</v>
      </c>
      <c r="G326" s="12">
        <v>56</v>
      </c>
      <c r="H326" s="13">
        <f t="shared" si="20"/>
        <v>19561.48</v>
      </c>
      <c r="I326" s="14">
        <f t="shared" si="21"/>
        <v>24.665555555555557</v>
      </c>
      <c r="J326" s="10">
        <v>16</v>
      </c>
      <c r="K326" s="10">
        <v>9</v>
      </c>
      <c r="L326" s="10">
        <v>42.24</v>
      </c>
      <c r="M326" s="12">
        <v>-20</v>
      </c>
      <c r="N326" s="12">
        <v>-57</v>
      </c>
      <c r="O326" s="12">
        <v>-13.5</v>
      </c>
      <c r="P326" s="13">
        <f t="shared" si="22"/>
        <v>58182.239999999998</v>
      </c>
      <c r="Q326" s="14">
        <f t="shared" si="23"/>
        <v>-20.953749999999999</v>
      </c>
    </row>
    <row r="327" spans="1:17" x14ac:dyDescent="0.25">
      <c r="A327" s="9" t="s">
        <v>337</v>
      </c>
      <c r="B327" s="10">
        <v>5</v>
      </c>
      <c r="C327" s="10">
        <v>24</v>
      </c>
      <c r="D327" s="11">
        <v>43.53</v>
      </c>
      <c r="E327" s="12">
        <v>24</v>
      </c>
      <c r="F327" s="12">
        <v>41</v>
      </c>
      <c r="G327" s="12">
        <v>56.1</v>
      </c>
      <c r="H327" s="13">
        <f t="shared" si="20"/>
        <v>19483.53</v>
      </c>
      <c r="I327" s="14">
        <f t="shared" si="21"/>
        <v>24.698916666666666</v>
      </c>
      <c r="J327" s="10">
        <v>16</v>
      </c>
      <c r="K327" s="10">
        <v>14</v>
      </c>
      <c r="L327" s="10">
        <v>57.89</v>
      </c>
      <c r="M327" s="12">
        <v>-21</v>
      </c>
      <c r="N327" s="12">
        <v>-13</v>
      </c>
      <c r="O327" s="12">
        <v>-9.6</v>
      </c>
      <c r="P327" s="13">
        <f t="shared" si="22"/>
        <v>58497.89</v>
      </c>
      <c r="Q327" s="14">
        <f t="shared" si="23"/>
        <v>-21.219333333333331</v>
      </c>
    </row>
    <row r="328" spans="1:17" x14ac:dyDescent="0.25">
      <c r="A328" s="9" t="s">
        <v>338</v>
      </c>
      <c r="B328" s="10">
        <v>5</v>
      </c>
      <c r="C328" s="10">
        <v>23</v>
      </c>
      <c r="D328" s="11">
        <v>22.59</v>
      </c>
      <c r="E328" s="12">
        <v>24</v>
      </c>
      <c r="F328" s="12">
        <v>43</v>
      </c>
      <c r="G328" s="12">
        <v>50.5</v>
      </c>
      <c r="H328" s="13">
        <f t="shared" si="20"/>
        <v>19402.59</v>
      </c>
      <c r="I328" s="14">
        <f t="shared" si="21"/>
        <v>24.730694444444445</v>
      </c>
      <c r="J328" s="10">
        <v>16</v>
      </c>
      <c r="K328" s="10">
        <v>20</v>
      </c>
      <c r="L328" s="10">
        <v>14.67</v>
      </c>
      <c r="M328" s="12">
        <v>-21</v>
      </c>
      <c r="N328" s="12">
        <v>-28</v>
      </c>
      <c r="O328" s="12">
        <v>-29.1</v>
      </c>
      <c r="P328" s="13">
        <f t="shared" si="22"/>
        <v>58814.67</v>
      </c>
      <c r="Q328" s="14">
        <f t="shared" si="23"/>
        <v>-21.474749999999997</v>
      </c>
    </row>
    <row r="329" spans="1:17" x14ac:dyDescent="0.25">
      <c r="A329" s="9" t="s">
        <v>339</v>
      </c>
      <c r="B329" s="10">
        <v>5</v>
      </c>
      <c r="C329" s="10">
        <v>21</v>
      </c>
      <c r="D329" s="11">
        <v>58.79</v>
      </c>
      <c r="E329" s="12">
        <v>24</v>
      </c>
      <c r="F329" s="12">
        <v>45</v>
      </c>
      <c r="G329" s="12">
        <v>38.6</v>
      </c>
      <c r="H329" s="13">
        <f t="shared" si="20"/>
        <v>19318.79</v>
      </c>
      <c r="I329" s="14">
        <f t="shared" si="21"/>
        <v>24.760722222222221</v>
      </c>
      <c r="J329" s="10">
        <v>16</v>
      </c>
      <c r="K329" s="10">
        <v>25</v>
      </c>
      <c r="L329" s="10">
        <v>32.549999999999997</v>
      </c>
      <c r="M329" s="12">
        <v>-21</v>
      </c>
      <c r="N329" s="12">
        <v>-43</v>
      </c>
      <c r="O329" s="12">
        <v>-11.5</v>
      </c>
      <c r="P329" s="13">
        <f t="shared" si="22"/>
        <v>59132.55</v>
      </c>
      <c r="Q329" s="14">
        <f t="shared" si="23"/>
        <v>-21.719861111111108</v>
      </c>
    </row>
    <row r="330" spans="1:17" x14ac:dyDescent="0.25">
      <c r="A330" s="9" t="s">
        <v>340</v>
      </c>
      <c r="B330" s="10">
        <v>5</v>
      </c>
      <c r="C330" s="10">
        <v>20</v>
      </c>
      <c r="D330" s="11">
        <v>32.299999999999997</v>
      </c>
      <c r="E330" s="12">
        <v>24</v>
      </c>
      <c r="F330" s="12">
        <v>47</v>
      </c>
      <c r="G330" s="12">
        <v>20.2</v>
      </c>
      <c r="H330" s="13">
        <f t="shared" si="20"/>
        <v>19232.3</v>
      </c>
      <c r="I330" s="14">
        <f t="shared" si="21"/>
        <v>24.788944444444443</v>
      </c>
      <c r="J330" s="10">
        <v>16</v>
      </c>
      <c r="K330" s="10">
        <v>30</v>
      </c>
      <c r="L330" s="10">
        <v>51.5</v>
      </c>
      <c r="M330" s="12">
        <v>-21</v>
      </c>
      <c r="N330" s="12">
        <v>-57</v>
      </c>
      <c r="O330" s="12">
        <v>-16</v>
      </c>
      <c r="P330" s="13">
        <f t="shared" si="22"/>
        <v>59451.5</v>
      </c>
      <c r="Q330" s="14">
        <f t="shared" si="23"/>
        <v>-21.954444444444444</v>
      </c>
    </row>
    <row r="331" spans="1:17" x14ac:dyDescent="0.25">
      <c r="A331" s="9" t="s">
        <v>341</v>
      </c>
      <c r="B331" s="10">
        <v>5</v>
      </c>
      <c r="C331" s="10">
        <v>19</v>
      </c>
      <c r="D331" s="11">
        <v>3.31</v>
      </c>
      <c r="E331" s="12">
        <v>24</v>
      </c>
      <c r="F331" s="12">
        <v>48</v>
      </c>
      <c r="G331" s="12">
        <v>54.9</v>
      </c>
      <c r="H331" s="13">
        <f t="shared" si="20"/>
        <v>19143.310000000001</v>
      </c>
      <c r="I331" s="14">
        <f t="shared" si="21"/>
        <v>24.815249999999999</v>
      </c>
      <c r="J331" s="10">
        <v>16</v>
      </c>
      <c r="K331" s="10">
        <v>36</v>
      </c>
      <c r="L331" s="10">
        <v>11.49</v>
      </c>
      <c r="M331" s="12">
        <v>-22</v>
      </c>
      <c r="N331" s="12">
        <v>-10</v>
      </c>
      <c r="O331" s="12">
        <v>-42.1</v>
      </c>
      <c r="P331" s="13">
        <f t="shared" si="22"/>
        <v>59771.49</v>
      </c>
      <c r="Q331" s="14">
        <f t="shared" si="23"/>
        <v>-22.178361111111112</v>
      </c>
    </row>
    <row r="332" spans="1:17" x14ac:dyDescent="0.25">
      <c r="A332" s="9" t="s">
        <v>342</v>
      </c>
      <c r="B332" s="10">
        <v>5</v>
      </c>
      <c r="C332" s="10">
        <v>17</v>
      </c>
      <c r="D332" s="11">
        <v>32</v>
      </c>
      <c r="E332" s="12">
        <v>24</v>
      </c>
      <c r="F332" s="12">
        <v>50</v>
      </c>
      <c r="G332" s="12">
        <v>22.5</v>
      </c>
      <c r="H332" s="13">
        <f t="shared" si="20"/>
        <v>19052</v>
      </c>
      <c r="I332" s="14">
        <f t="shared" si="21"/>
        <v>24.839583333333334</v>
      </c>
      <c r="J332" s="10">
        <v>16</v>
      </c>
      <c r="K332" s="10">
        <v>41</v>
      </c>
      <c r="L332" s="10">
        <v>32.47</v>
      </c>
      <c r="M332" s="12">
        <v>-22</v>
      </c>
      <c r="N332" s="12">
        <v>-23</v>
      </c>
      <c r="O332" s="12">
        <v>-29.2</v>
      </c>
      <c r="P332" s="13">
        <f t="shared" si="22"/>
        <v>60092.47</v>
      </c>
      <c r="Q332" s="14">
        <f t="shared" si="23"/>
        <v>-22.391444444444446</v>
      </c>
    </row>
    <row r="333" spans="1:17" x14ac:dyDescent="0.25">
      <c r="A333" s="9" t="s">
        <v>343</v>
      </c>
      <c r="B333" s="10">
        <v>5</v>
      </c>
      <c r="C333" s="10">
        <v>15</v>
      </c>
      <c r="D333" s="11">
        <v>58.57</v>
      </c>
      <c r="E333" s="12">
        <v>24</v>
      </c>
      <c r="F333" s="12">
        <v>51</v>
      </c>
      <c r="G333" s="12">
        <v>42.7</v>
      </c>
      <c r="H333" s="13">
        <f t="shared" si="20"/>
        <v>18958.57</v>
      </c>
      <c r="I333" s="14">
        <f t="shared" si="21"/>
        <v>24.861861111111111</v>
      </c>
      <c r="J333" s="10">
        <v>16</v>
      </c>
      <c r="K333" s="10">
        <v>46</v>
      </c>
      <c r="L333" s="10">
        <v>54.4</v>
      </c>
      <c r="M333" s="12">
        <v>-22</v>
      </c>
      <c r="N333" s="12">
        <v>-35</v>
      </c>
      <c r="O333" s="12">
        <v>-36.6</v>
      </c>
      <c r="P333" s="13">
        <f t="shared" si="22"/>
        <v>60414.400000000001</v>
      </c>
      <c r="Q333" s="14">
        <f t="shared" si="23"/>
        <v>-22.593499999999999</v>
      </c>
    </row>
    <row r="334" spans="1:17" x14ac:dyDescent="0.25">
      <c r="A334" s="9" t="s">
        <v>344</v>
      </c>
      <c r="B334" s="10">
        <v>5</v>
      </c>
      <c r="C334" s="10">
        <v>14</v>
      </c>
      <c r="D334" s="11">
        <v>23.22</v>
      </c>
      <c r="E334" s="12">
        <v>24</v>
      </c>
      <c r="F334" s="12">
        <v>52</v>
      </c>
      <c r="G334" s="12">
        <v>55.2</v>
      </c>
      <c r="H334" s="13">
        <f t="shared" si="20"/>
        <v>18863.22</v>
      </c>
      <c r="I334" s="14">
        <f t="shared" si="21"/>
        <v>24.882000000000001</v>
      </c>
      <c r="J334" s="10">
        <v>16</v>
      </c>
      <c r="K334" s="10">
        <v>52</v>
      </c>
      <c r="L334" s="10">
        <v>17.25</v>
      </c>
      <c r="M334" s="12">
        <v>-22</v>
      </c>
      <c r="N334" s="12">
        <v>-47</v>
      </c>
      <c r="O334" s="12">
        <v>-3.9</v>
      </c>
      <c r="P334" s="13">
        <f t="shared" si="22"/>
        <v>60737.25</v>
      </c>
      <c r="Q334" s="14">
        <f t="shared" si="23"/>
        <v>-22.784416666666669</v>
      </c>
    </row>
    <row r="335" spans="1:17" x14ac:dyDescent="0.25">
      <c r="A335" s="9" t="s">
        <v>345</v>
      </c>
      <c r="B335" s="10">
        <v>5</v>
      </c>
      <c r="C335" s="10">
        <v>12</v>
      </c>
      <c r="D335" s="11">
        <v>46.17</v>
      </c>
      <c r="E335" s="12">
        <v>24</v>
      </c>
      <c r="F335" s="12">
        <v>53</v>
      </c>
      <c r="G335" s="12">
        <v>59.8</v>
      </c>
      <c r="H335" s="13">
        <f t="shared" si="20"/>
        <v>18766.169999999998</v>
      </c>
      <c r="I335" s="14">
        <f t="shared" si="21"/>
        <v>24.899944444444444</v>
      </c>
      <c r="J335" s="10">
        <v>16</v>
      </c>
      <c r="K335" s="10">
        <v>57</v>
      </c>
      <c r="L335" s="10">
        <v>40.96</v>
      </c>
      <c r="M335" s="12">
        <v>-22</v>
      </c>
      <c r="N335" s="12">
        <v>-57</v>
      </c>
      <c r="O335" s="12">
        <v>-50.4</v>
      </c>
      <c r="P335" s="13">
        <f t="shared" si="22"/>
        <v>61060.959999999999</v>
      </c>
      <c r="Q335" s="14">
        <f t="shared" si="23"/>
        <v>-22.963999999999999</v>
      </c>
    </row>
    <row r="336" spans="1:17" x14ac:dyDescent="0.25">
      <c r="A336" s="9" t="s">
        <v>346</v>
      </c>
      <c r="B336" s="10">
        <v>5</v>
      </c>
      <c r="C336" s="10">
        <v>11</v>
      </c>
      <c r="D336" s="11">
        <v>7.64</v>
      </c>
      <c r="E336" s="12">
        <v>24</v>
      </c>
      <c r="F336" s="12">
        <v>54</v>
      </c>
      <c r="G336" s="12">
        <v>56.4</v>
      </c>
      <c r="H336" s="13">
        <f t="shared" si="20"/>
        <v>18667.64</v>
      </c>
      <c r="I336" s="14">
        <f t="shared" si="21"/>
        <v>24.915666666666667</v>
      </c>
      <c r="J336" s="10">
        <v>17</v>
      </c>
      <c r="K336" s="10">
        <v>3</v>
      </c>
      <c r="L336" s="10">
        <v>5.5</v>
      </c>
      <c r="M336" s="12">
        <v>-23</v>
      </c>
      <c r="N336" s="12">
        <v>-7</v>
      </c>
      <c r="O336" s="12">
        <v>-55.7</v>
      </c>
      <c r="P336" s="13">
        <f t="shared" si="22"/>
        <v>61385.5</v>
      </c>
      <c r="Q336" s="14">
        <f t="shared" si="23"/>
        <v>-23.132138888888889</v>
      </c>
    </row>
    <row r="337" spans="1:17" x14ac:dyDescent="0.25">
      <c r="A337" s="9" t="s">
        <v>347</v>
      </c>
      <c r="B337" s="10">
        <v>5</v>
      </c>
      <c r="C337" s="10">
        <v>9</v>
      </c>
      <c r="D337" s="11">
        <v>27.84</v>
      </c>
      <c r="E337" s="12">
        <v>24</v>
      </c>
      <c r="F337" s="12">
        <v>55</v>
      </c>
      <c r="G337" s="12">
        <v>44.9</v>
      </c>
      <c r="H337" s="13">
        <f t="shared" si="20"/>
        <v>18567.84</v>
      </c>
      <c r="I337" s="14">
        <f t="shared" si="21"/>
        <v>24.92913888888889</v>
      </c>
      <c r="J337" s="10">
        <v>17</v>
      </c>
      <c r="K337" s="10">
        <v>8</v>
      </c>
      <c r="L337" s="10">
        <v>30.8</v>
      </c>
      <c r="M337" s="12">
        <v>-23</v>
      </c>
      <c r="N337" s="12">
        <v>-17</v>
      </c>
      <c r="O337" s="12">
        <v>-19.399999999999999</v>
      </c>
      <c r="P337" s="13">
        <f t="shared" si="22"/>
        <v>61710.8</v>
      </c>
      <c r="Q337" s="14">
        <f t="shared" si="23"/>
        <v>-23.288722222222223</v>
      </c>
    </row>
    <row r="338" spans="1:17" x14ac:dyDescent="0.25">
      <c r="A338" s="9" t="s">
        <v>348</v>
      </c>
      <c r="B338" s="10">
        <v>5</v>
      </c>
      <c r="C338" s="10">
        <v>7</v>
      </c>
      <c r="D338" s="11">
        <v>47</v>
      </c>
      <c r="E338" s="12">
        <v>24</v>
      </c>
      <c r="F338" s="12">
        <v>56</v>
      </c>
      <c r="G338" s="12">
        <v>25.1</v>
      </c>
      <c r="H338" s="13">
        <f t="shared" si="20"/>
        <v>18467</v>
      </c>
      <c r="I338" s="14">
        <f t="shared" si="21"/>
        <v>24.940305555555554</v>
      </c>
      <c r="J338" s="10">
        <v>17</v>
      </c>
      <c r="K338" s="10">
        <v>13</v>
      </c>
      <c r="L338" s="10">
        <v>56.83</v>
      </c>
      <c r="M338" s="12">
        <v>-23</v>
      </c>
      <c r="N338" s="12">
        <v>-26</v>
      </c>
      <c r="O338" s="12">
        <v>-0.9</v>
      </c>
      <c r="P338" s="13">
        <f t="shared" si="22"/>
        <v>62036.83</v>
      </c>
      <c r="Q338" s="14">
        <f t="shared" si="23"/>
        <v>-23.433583333333335</v>
      </c>
    </row>
    <row r="339" spans="1:17" x14ac:dyDescent="0.25">
      <c r="A339" s="9" t="s">
        <v>349</v>
      </c>
      <c r="B339" s="10">
        <v>5</v>
      </c>
      <c r="C339" s="10">
        <v>6</v>
      </c>
      <c r="D339" s="11">
        <v>5.35</v>
      </c>
      <c r="E339" s="12">
        <v>24</v>
      </c>
      <c r="F339" s="12">
        <v>56</v>
      </c>
      <c r="G339" s="12">
        <v>57.1</v>
      </c>
      <c r="H339" s="13">
        <f t="shared" si="20"/>
        <v>18365.349999999999</v>
      </c>
      <c r="I339" s="14">
        <f t="shared" si="21"/>
        <v>24.949194444444444</v>
      </c>
      <c r="J339" s="10">
        <v>17</v>
      </c>
      <c r="K339" s="10">
        <v>19</v>
      </c>
      <c r="L339" s="10">
        <v>23.52</v>
      </c>
      <c r="M339" s="12">
        <v>-23</v>
      </c>
      <c r="N339" s="12">
        <v>-33</v>
      </c>
      <c r="O339" s="12">
        <v>-59.9</v>
      </c>
      <c r="P339" s="13">
        <f t="shared" si="22"/>
        <v>62363.519999999997</v>
      </c>
      <c r="Q339" s="14">
        <f t="shared" si="23"/>
        <v>-23.566638888888889</v>
      </c>
    </row>
    <row r="340" spans="1:17" x14ac:dyDescent="0.25">
      <c r="A340" s="9" t="s">
        <v>350</v>
      </c>
      <c r="B340" s="10">
        <v>5</v>
      </c>
      <c r="C340" s="10">
        <v>4</v>
      </c>
      <c r="D340" s="11">
        <v>23.09</v>
      </c>
      <c r="E340" s="12">
        <v>24</v>
      </c>
      <c r="F340" s="12">
        <v>57</v>
      </c>
      <c r="G340" s="12">
        <v>20.7</v>
      </c>
      <c r="H340" s="13">
        <f t="shared" si="20"/>
        <v>18263.09</v>
      </c>
      <c r="I340" s="14">
        <f t="shared" si="21"/>
        <v>24.955749999999998</v>
      </c>
      <c r="J340" s="10">
        <v>17</v>
      </c>
      <c r="K340" s="10">
        <v>24</v>
      </c>
      <c r="L340" s="10">
        <v>50.83</v>
      </c>
      <c r="M340" s="12">
        <v>-23</v>
      </c>
      <c r="N340" s="12">
        <v>-41</v>
      </c>
      <c r="O340" s="12">
        <v>-16.100000000000001</v>
      </c>
      <c r="P340" s="13">
        <f t="shared" si="22"/>
        <v>62690.83</v>
      </c>
      <c r="Q340" s="14">
        <f t="shared" si="23"/>
        <v>-23.687805555555556</v>
      </c>
    </row>
    <row r="341" spans="1:17" x14ac:dyDescent="0.25">
      <c r="A341" s="9" t="s">
        <v>351</v>
      </c>
      <c r="B341" s="10">
        <v>5</v>
      </c>
      <c r="C341" s="10">
        <v>2</v>
      </c>
      <c r="D341" s="11">
        <v>40.47</v>
      </c>
      <c r="E341" s="12">
        <v>24</v>
      </c>
      <c r="F341" s="12">
        <v>57</v>
      </c>
      <c r="G341" s="12">
        <v>36.1</v>
      </c>
      <c r="H341" s="13">
        <f t="shared" si="20"/>
        <v>18160.47</v>
      </c>
      <c r="I341" s="14">
        <f t="shared" si="21"/>
        <v>24.960027777777778</v>
      </c>
      <c r="J341" s="10">
        <v>17</v>
      </c>
      <c r="K341" s="10">
        <v>30</v>
      </c>
      <c r="L341" s="10">
        <v>18.7</v>
      </c>
      <c r="M341" s="12">
        <v>-23</v>
      </c>
      <c r="N341" s="12">
        <v>-47</v>
      </c>
      <c r="O341" s="12">
        <v>-48.9</v>
      </c>
      <c r="P341" s="13">
        <f t="shared" si="22"/>
        <v>63018.7</v>
      </c>
      <c r="Q341" s="14">
        <f t="shared" si="23"/>
        <v>-23.796916666666668</v>
      </c>
    </row>
    <row r="342" spans="1:17" x14ac:dyDescent="0.25">
      <c r="A342" s="9" t="s">
        <v>352</v>
      </c>
      <c r="B342" s="10">
        <v>5</v>
      </c>
      <c r="C342" s="10">
        <v>0</v>
      </c>
      <c r="D342" s="11">
        <v>57.7</v>
      </c>
      <c r="E342" s="12">
        <v>24</v>
      </c>
      <c r="F342" s="12">
        <v>57</v>
      </c>
      <c r="G342" s="12">
        <v>43.3</v>
      </c>
      <c r="H342" s="13">
        <f t="shared" si="20"/>
        <v>18057.7</v>
      </c>
      <c r="I342" s="14">
        <f t="shared" si="21"/>
        <v>24.962027777777777</v>
      </c>
      <c r="J342" s="10">
        <v>17</v>
      </c>
      <c r="K342" s="10">
        <v>35</v>
      </c>
      <c r="L342" s="10">
        <v>47.07</v>
      </c>
      <c r="M342" s="12">
        <v>-23</v>
      </c>
      <c r="N342" s="12">
        <v>-53</v>
      </c>
      <c r="O342" s="12">
        <v>-38.200000000000003</v>
      </c>
      <c r="P342" s="13">
        <f t="shared" si="22"/>
        <v>63347.07</v>
      </c>
      <c r="Q342" s="14">
        <f t="shared" si="23"/>
        <v>-23.893944444444443</v>
      </c>
    </row>
    <row r="343" spans="1:17" x14ac:dyDescent="0.25">
      <c r="A343" s="9" t="s">
        <v>353</v>
      </c>
      <c r="B343" s="10">
        <v>4</v>
      </c>
      <c r="C343" s="10">
        <v>59</v>
      </c>
      <c r="D343" s="11">
        <v>15.01</v>
      </c>
      <c r="E343" s="12">
        <v>24</v>
      </c>
      <c r="F343" s="12">
        <v>57</v>
      </c>
      <c r="G343" s="12">
        <v>42.4</v>
      </c>
      <c r="H343" s="13">
        <f t="shared" si="20"/>
        <v>17955.009999999998</v>
      </c>
      <c r="I343" s="14">
        <f t="shared" si="21"/>
        <v>24.961777777777776</v>
      </c>
      <c r="J343" s="10">
        <v>17</v>
      </c>
      <c r="K343" s="10">
        <v>41</v>
      </c>
      <c r="L343" s="10">
        <v>15.88</v>
      </c>
      <c r="M343" s="12">
        <v>-23</v>
      </c>
      <c r="N343" s="12">
        <v>-58</v>
      </c>
      <c r="O343" s="12">
        <v>-43.6</v>
      </c>
      <c r="P343" s="13">
        <f t="shared" si="22"/>
        <v>63675.88</v>
      </c>
      <c r="Q343" s="14">
        <f t="shared" si="23"/>
        <v>-23.978777777777776</v>
      </c>
    </row>
    <row r="344" spans="1:17" x14ac:dyDescent="0.25">
      <c r="A344" s="9" t="s">
        <v>354</v>
      </c>
      <c r="B344" s="10">
        <v>4</v>
      </c>
      <c r="C344" s="10">
        <v>57</v>
      </c>
      <c r="D344" s="11">
        <v>32.61</v>
      </c>
      <c r="E344" s="12">
        <v>24</v>
      </c>
      <c r="F344" s="12">
        <v>57</v>
      </c>
      <c r="G344" s="12">
        <v>33.6</v>
      </c>
      <c r="H344" s="13">
        <f t="shared" si="20"/>
        <v>17852.61</v>
      </c>
      <c r="I344" s="14">
        <f t="shared" si="21"/>
        <v>24.959333333333333</v>
      </c>
      <c r="J344" s="10">
        <v>17</v>
      </c>
      <c r="K344" s="10">
        <v>46</v>
      </c>
      <c r="L344" s="10">
        <v>45.08</v>
      </c>
      <c r="M344" s="12">
        <v>-24</v>
      </c>
      <c r="N344" s="12">
        <v>-3</v>
      </c>
      <c r="O344" s="12">
        <v>-5</v>
      </c>
      <c r="P344" s="13">
        <f t="shared" si="22"/>
        <v>64005.08</v>
      </c>
      <c r="Q344" s="14">
        <f t="shared" si="23"/>
        <v>-24.051388888888891</v>
      </c>
    </row>
    <row r="345" spans="1:17" x14ac:dyDescent="0.25">
      <c r="A345" s="9" t="s">
        <v>355</v>
      </c>
      <c r="B345" s="10">
        <v>4</v>
      </c>
      <c r="C345" s="10">
        <v>55</v>
      </c>
      <c r="D345" s="11">
        <v>50.72</v>
      </c>
      <c r="E345" s="12">
        <v>24</v>
      </c>
      <c r="F345" s="12">
        <v>57</v>
      </c>
      <c r="G345" s="12">
        <v>17.2</v>
      </c>
      <c r="H345" s="13">
        <f t="shared" si="20"/>
        <v>17750.72</v>
      </c>
      <c r="I345" s="14">
        <f t="shared" si="21"/>
        <v>24.954777777777778</v>
      </c>
      <c r="J345" s="10">
        <v>17</v>
      </c>
      <c r="K345" s="10">
        <v>52</v>
      </c>
      <c r="L345" s="10">
        <v>14.61</v>
      </c>
      <c r="M345" s="12">
        <v>-24</v>
      </c>
      <c r="N345" s="12">
        <v>-6</v>
      </c>
      <c r="O345" s="12">
        <v>-41.9</v>
      </c>
      <c r="P345" s="13">
        <f t="shared" si="22"/>
        <v>64334.61</v>
      </c>
      <c r="Q345" s="14">
        <f t="shared" si="23"/>
        <v>-24.111638888888891</v>
      </c>
    </row>
    <row r="346" spans="1:17" x14ac:dyDescent="0.25">
      <c r="A346" s="9" t="s">
        <v>356</v>
      </c>
      <c r="B346" s="10">
        <v>4</v>
      </c>
      <c r="C346" s="10">
        <v>54</v>
      </c>
      <c r="D346" s="11">
        <v>9.57</v>
      </c>
      <c r="E346" s="12">
        <v>24</v>
      </c>
      <c r="F346" s="12">
        <v>56</v>
      </c>
      <c r="G346" s="12">
        <v>53.3</v>
      </c>
      <c r="H346" s="13">
        <f t="shared" si="20"/>
        <v>17649.57</v>
      </c>
      <c r="I346" s="14">
        <f t="shared" si="21"/>
        <v>24.948138888888888</v>
      </c>
      <c r="J346" s="10">
        <v>17</v>
      </c>
      <c r="K346" s="10">
        <v>57</v>
      </c>
      <c r="L346" s="10">
        <v>44.4</v>
      </c>
      <c r="M346" s="12">
        <v>-24</v>
      </c>
      <c r="N346" s="12">
        <v>-9</v>
      </c>
      <c r="O346" s="12">
        <v>-34.4</v>
      </c>
      <c r="P346" s="13">
        <f t="shared" si="22"/>
        <v>64664.4</v>
      </c>
      <c r="Q346" s="14">
        <f t="shared" si="23"/>
        <v>-24.159555555555553</v>
      </c>
    </row>
    <row r="347" spans="1:17" x14ac:dyDescent="0.25">
      <c r="A347" s="9" t="s">
        <v>357</v>
      </c>
      <c r="B347" s="10">
        <v>4</v>
      </c>
      <c r="C347" s="10">
        <v>52</v>
      </c>
      <c r="D347" s="11">
        <v>29.35</v>
      </c>
      <c r="E347" s="12">
        <v>24</v>
      </c>
      <c r="F347" s="12">
        <v>56</v>
      </c>
      <c r="G347" s="12">
        <v>22.3</v>
      </c>
      <c r="H347" s="13">
        <f t="shared" si="20"/>
        <v>17549.349999999999</v>
      </c>
      <c r="I347" s="14">
        <f t="shared" si="21"/>
        <v>24.939527777777776</v>
      </c>
      <c r="J347" s="10">
        <v>18</v>
      </c>
      <c r="K347" s="10">
        <v>3</v>
      </c>
      <c r="L347" s="10">
        <v>14.39</v>
      </c>
      <c r="M347" s="12">
        <v>-24</v>
      </c>
      <c r="N347" s="12">
        <v>-11</v>
      </c>
      <c r="O347" s="12">
        <v>-42.2</v>
      </c>
      <c r="P347" s="13">
        <f t="shared" si="22"/>
        <v>64994.39</v>
      </c>
      <c r="Q347" s="14">
        <f t="shared" si="23"/>
        <v>-24.195055555555555</v>
      </c>
    </row>
    <row r="348" spans="1:17" x14ac:dyDescent="0.25">
      <c r="A348" s="9" t="s">
        <v>358</v>
      </c>
      <c r="B348" s="10">
        <v>4</v>
      </c>
      <c r="C348" s="10">
        <v>50</v>
      </c>
      <c r="D348" s="11">
        <v>50.29</v>
      </c>
      <c r="E348" s="12">
        <v>24</v>
      </c>
      <c r="F348" s="12">
        <v>55</v>
      </c>
      <c r="G348" s="12">
        <v>44.5</v>
      </c>
      <c r="H348" s="13">
        <f t="shared" si="20"/>
        <v>17450.29</v>
      </c>
      <c r="I348" s="14">
        <f t="shared" si="21"/>
        <v>24.929027777777776</v>
      </c>
      <c r="J348" s="10">
        <v>18</v>
      </c>
      <c r="K348" s="10">
        <v>8</v>
      </c>
      <c r="L348" s="10">
        <v>44.52</v>
      </c>
      <c r="M348" s="12">
        <v>-24</v>
      </c>
      <c r="N348" s="12">
        <v>-13</v>
      </c>
      <c r="O348" s="12">
        <v>-5.2</v>
      </c>
      <c r="P348" s="13">
        <f t="shared" si="22"/>
        <v>65324.52</v>
      </c>
      <c r="Q348" s="14">
        <f t="shared" si="23"/>
        <v>-24.21811111111111</v>
      </c>
    </row>
    <row r="349" spans="1:17" x14ac:dyDescent="0.25">
      <c r="A349" s="9" t="s">
        <v>359</v>
      </c>
      <c r="B349" s="10">
        <v>4</v>
      </c>
      <c r="C349" s="10">
        <v>49</v>
      </c>
      <c r="D349" s="11">
        <v>12.58</v>
      </c>
      <c r="E349" s="12">
        <v>24</v>
      </c>
      <c r="F349" s="12">
        <v>55</v>
      </c>
      <c r="G349" s="12">
        <v>0.4</v>
      </c>
      <c r="H349" s="13">
        <f t="shared" si="20"/>
        <v>17352.580000000002</v>
      </c>
      <c r="I349" s="14">
        <f t="shared" si="21"/>
        <v>24.916777777777778</v>
      </c>
      <c r="J349" s="10">
        <v>18</v>
      </c>
      <c r="K349" s="10">
        <v>14</v>
      </c>
      <c r="L349" s="10">
        <v>14.72</v>
      </c>
      <c r="M349" s="12">
        <v>-24</v>
      </c>
      <c r="N349" s="12">
        <v>-13</v>
      </c>
      <c r="O349" s="12">
        <v>-43.3</v>
      </c>
      <c r="P349" s="13">
        <f t="shared" si="22"/>
        <v>65654.720000000001</v>
      </c>
      <c r="Q349" s="14">
        <f t="shared" si="23"/>
        <v>-24.228694444444443</v>
      </c>
    </row>
    <row r="350" spans="1:17" x14ac:dyDescent="0.25">
      <c r="A350" s="9" t="s">
        <v>360</v>
      </c>
      <c r="B350" s="10">
        <v>4</v>
      </c>
      <c r="C350" s="10">
        <v>47</v>
      </c>
      <c r="D350" s="11">
        <v>36.42</v>
      </c>
      <c r="E350" s="12">
        <v>24</v>
      </c>
      <c r="F350" s="12">
        <v>54</v>
      </c>
      <c r="G350" s="12">
        <v>10.199999999999999</v>
      </c>
      <c r="H350" s="13">
        <f t="shared" si="20"/>
        <v>17256.419999999998</v>
      </c>
      <c r="I350" s="14">
        <f t="shared" si="21"/>
        <v>24.902833333333334</v>
      </c>
      <c r="J350" s="10">
        <v>18</v>
      </c>
      <c r="K350" s="10">
        <v>19</v>
      </c>
      <c r="L350" s="10">
        <v>44.93</v>
      </c>
      <c r="M350" s="12">
        <v>-24</v>
      </c>
      <c r="N350" s="12">
        <v>-13</v>
      </c>
      <c r="O350" s="12">
        <v>-36.4</v>
      </c>
      <c r="P350" s="13">
        <f t="shared" si="22"/>
        <v>65984.929999999993</v>
      </c>
      <c r="Q350" s="14">
        <f t="shared" si="23"/>
        <v>-24.226777777777777</v>
      </c>
    </row>
    <row r="351" spans="1:17" x14ac:dyDescent="0.25">
      <c r="A351" s="9" t="s">
        <v>361</v>
      </c>
      <c r="B351" s="10">
        <v>4</v>
      </c>
      <c r="C351" s="10">
        <v>46</v>
      </c>
      <c r="D351" s="11">
        <v>2.0099999999999998</v>
      </c>
      <c r="E351" s="12">
        <v>24</v>
      </c>
      <c r="F351" s="12">
        <v>53</v>
      </c>
      <c r="G351" s="12">
        <v>14.6</v>
      </c>
      <c r="H351" s="13">
        <f t="shared" si="20"/>
        <v>17162.009999999998</v>
      </c>
      <c r="I351" s="14">
        <f t="shared" si="21"/>
        <v>24.887388888888889</v>
      </c>
      <c r="J351" s="10">
        <v>18</v>
      </c>
      <c r="K351" s="10">
        <v>25</v>
      </c>
      <c r="L351" s="10">
        <v>15.09</v>
      </c>
      <c r="M351" s="12">
        <v>-24</v>
      </c>
      <c r="N351" s="12">
        <v>-12</v>
      </c>
      <c r="O351" s="12">
        <v>-44.5</v>
      </c>
      <c r="P351" s="13">
        <f t="shared" si="22"/>
        <v>66315.09</v>
      </c>
      <c r="Q351" s="14">
        <f t="shared" si="23"/>
        <v>-24.212361111111111</v>
      </c>
    </row>
    <row r="352" spans="1:17" x14ac:dyDescent="0.25">
      <c r="A352" s="9" t="s">
        <v>362</v>
      </c>
      <c r="B352" s="10">
        <v>4</v>
      </c>
      <c r="C352" s="10">
        <v>44</v>
      </c>
      <c r="D352" s="11">
        <v>29.52</v>
      </c>
      <c r="E352" s="12">
        <v>24</v>
      </c>
      <c r="F352" s="12">
        <v>52</v>
      </c>
      <c r="G352" s="12">
        <v>14</v>
      </c>
      <c r="H352" s="13">
        <f t="shared" si="20"/>
        <v>17069.52</v>
      </c>
      <c r="I352" s="14">
        <f t="shared" si="21"/>
        <v>24.870555555555555</v>
      </c>
      <c r="J352" s="10">
        <v>18</v>
      </c>
      <c r="K352" s="10">
        <v>30</v>
      </c>
      <c r="L352" s="10">
        <v>45.12</v>
      </c>
      <c r="M352" s="12">
        <v>-24</v>
      </c>
      <c r="N352" s="12">
        <v>-11</v>
      </c>
      <c r="O352" s="12">
        <v>-7.7</v>
      </c>
      <c r="P352" s="13">
        <f t="shared" si="22"/>
        <v>66645.119999999995</v>
      </c>
      <c r="Q352" s="14">
        <f t="shared" si="23"/>
        <v>-24.185472222222224</v>
      </c>
    </row>
    <row r="353" spans="1:17" x14ac:dyDescent="0.25">
      <c r="A353" s="9" t="s">
        <v>363</v>
      </c>
      <c r="B353" s="10">
        <v>4</v>
      </c>
      <c r="C353" s="10">
        <v>42</v>
      </c>
      <c r="D353" s="11">
        <v>59.14</v>
      </c>
      <c r="E353" s="12">
        <v>24</v>
      </c>
      <c r="F353" s="12">
        <v>51</v>
      </c>
      <c r="G353" s="12">
        <v>8.8000000000000007</v>
      </c>
      <c r="H353" s="13">
        <f t="shared" si="20"/>
        <v>16979.14</v>
      </c>
      <c r="I353" s="14">
        <f t="shared" si="21"/>
        <v>24.852444444444444</v>
      </c>
      <c r="J353" s="10">
        <v>18</v>
      </c>
      <c r="K353" s="10">
        <v>36</v>
      </c>
      <c r="L353" s="10">
        <v>14.97</v>
      </c>
      <c r="M353" s="12">
        <v>-24</v>
      </c>
      <c r="N353" s="12">
        <v>-8</v>
      </c>
      <c r="O353" s="12">
        <v>-46</v>
      </c>
      <c r="P353" s="13">
        <f t="shared" si="22"/>
        <v>66974.97</v>
      </c>
      <c r="Q353" s="14">
        <f t="shared" si="23"/>
        <v>-24.146111111111111</v>
      </c>
    </row>
    <row r="354" spans="1:17" x14ac:dyDescent="0.25">
      <c r="A354" s="9" t="s">
        <v>364</v>
      </c>
      <c r="B354" s="10">
        <v>4</v>
      </c>
      <c r="C354" s="10">
        <v>41</v>
      </c>
      <c r="D354" s="11">
        <v>31.03</v>
      </c>
      <c r="E354" s="12">
        <v>24</v>
      </c>
      <c r="F354" s="12">
        <v>49</v>
      </c>
      <c r="G354" s="12">
        <v>59.6</v>
      </c>
      <c r="H354" s="13">
        <f t="shared" si="20"/>
        <v>16891.03</v>
      </c>
      <c r="I354" s="14">
        <f t="shared" si="21"/>
        <v>24.833222222222222</v>
      </c>
      <c r="J354" s="10">
        <v>18</v>
      </c>
      <c r="K354" s="10">
        <v>41</v>
      </c>
      <c r="L354" s="10">
        <v>44.57</v>
      </c>
      <c r="M354" s="12">
        <v>-24</v>
      </c>
      <c r="N354" s="12">
        <v>-5</v>
      </c>
      <c r="O354" s="12">
        <v>-39.5</v>
      </c>
      <c r="P354" s="13">
        <f t="shared" si="22"/>
        <v>67304.570000000007</v>
      </c>
      <c r="Q354" s="14">
        <f t="shared" si="23"/>
        <v>-24.094305555555554</v>
      </c>
    </row>
    <row r="355" spans="1:17" x14ac:dyDescent="0.25">
      <c r="A355" s="9" t="s">
        <v>365</v>
      </c>
      <c r="B355" s="10">
        <v>4</v>
      </c>
      <c r="C355" s="10">
        <v>40</v>
      </c>
      <c r="D355" s="11">
        <v>5.36</v>
      </c>
      <c r="E355" s="12">
        <v>24</v>
      </c>
      <c r="F355" s="12">
        <v>48</v>
      </c>
      <c r="G355" s="12">
        <v>47.1</v>
      </c>
      <c r="H355" s="13">
        <f t="shared" si="20"/>
        <v>16805.36</v>
      </c>
      <c r="I355" s="14">
        <f t="shared" si="21"/>
        <v>24.813083333333335</v>
      </c>
      <c r="J355" s="10">
        <v>18</v>
      </c>
      <c r="K355" s="10">
        <v>47</v>
      </c>
      <c r="L355" s="10">
        <v>13.85</v>
      </c>
      <c r="M355" s="12">
        <v>-24</v>
      </c>
      <c r="N355" s="12">
        <v>-1</v>
      </c>
      <c r="O355" s="12">
        <v>-48.2</v>
      </c>
      <c r="P355" s="13">
        <f t="shared" si="22"/>
        <v>67633.850000000006</v>
      </c>
      <c r="Q355" s="14">
        <f t="shared" si="23"/>
        <v>-24.030055555555556</v>
      </c>
    </row>
    <row r="356" spans="1:17" x14ac:dyDescent="0.25">
      <c r="A356" s="9" t="s">
        <v>366</v>
      </c>
      <c r="B356" s="10">
        <v>4</v>
      </c>
      <c r="C356" s="10">
        <v>38</v>
      </c>
      <c r="D356" s="11">
        <v>42.28</v>
      </c>
      <c r="E356" s="12">
        <v>24</v>
      </c>
      <c r="F356" s="12">
        <v>47</v>
      </c>
      <c r="G356" s="12">
        <v>31.6</v>
      </c>
      <c r="H356" s="13">
        <f t="shared" si="20"/>
        <v>16722.28</v>
      </c>
      <c r="I356" s="14">
        <f t="shared" si="21"/>
        <v>24.792111111111112</v>
      </c>
      <c r="J356" s="10">
        <v>18</v>
      </c>
      <c r="K356" s="10">
        <v>52</v>
      </c>
      <c r="L356" s="10">
        <v>42.75</v>
      </c>
      <c r="M356" s="12">
        <v>-23</v>
      </c>
      <c r="N356" s="12">
        <v>-57</v>
      </c>
      <c r="O356" s="12">
        <v>-12.4</v>
      </c>
      <c r="P356" s="13">
        <f t="shared" si="22"/>
        <v>67962.75</v>
      </c>
      <c r="Q356" s="14">
        <f t="shared" si="23"/>
        <v>-23.953444444444443</v>
      </c>
    </row>
    <row r="357" spans="1:17" x14ac:dyDescent="0.25">
      <c r="A357" s="9" t="s">
        <v>367</v>
      </c>
      <c r="B357" s="10">
        <v>4</v>
      </c>
      <c r="C357" s="10">
        <v>37</v>
      </c>
      <c r="D357" s="11">
        <v>21.94</v>
      </c>
      <c r="E357" s="12">
        <v>24</v>
      </c>
      <c r="F357" s="12">
        <v>46</v>
      </c>
      <c r="G357" s="12">
        <v>13.9</v>
      </c>
      <c r="H357" s="13">
        <f t="shared" si="20"/>
        <v>16641.939999999999</v>
      </c>
      <c r="I357" s="14">
        <f t="shared" si="21"/>
        <v>24.770527777777779</v>
      </c>
      <c r="J357" s="10">
        <v>18</v>
      </c>
      <c r="K357" s="10">
        <v>58</v>
      </c>
      <c r="L357" s="10">
        <v>11.2</v>
      </c>
      <c r="M357" s="12">
        <v>-23</v>
      </c>
      <c r="N357" s="12">
        <v>-51</v>
      </c>
      <c r="O357" s="12">
        <v>-52.2</v>
      </c>
      <c r="P357" s="13">
        <f t="shared" si="22"/>
        <v>68291.199999999997</v>
      </c>
      <c r="Q357" s="14">
        <f t="shared" si="23"/>
        <v>-23.864500000000003</v>
      </c>
    </row>
    <row r="358" spans="1:17" x14ac:dyDescent="0.25">
      <c r="A358" s="9" t="s">
        <v>368</v>
      </c>
      <c r="B358" s="10">
        <v>4</v>
      </c>
      <c r="C358" s="10">
        <v>36</v>
      </c>
      <c r="D358" s="11">
        <v>4.47</v>
      </c>
      <c r="E358" s="12">
        <v>24</v>
      </c>
      <c r="F358" s="12">
        <v>44</v>
      </c>
      <c r="G358" s="12">
        <v>54.4</v>
      </c>
      <c r="H358" s="13">
        <f t="shared" si="20"/>
        <v>16564.47</v>
      </c>
      <c r="I358" s="14">
        <f t="shared" si="21"/>
        <v>24.748444444444445</v>
      </c>
      <c r="J358" s="10">
        <v>19</v>
      </c>
      <c r="K358" s="10">
        <v>3</v>
      </c>
      <c r="L358" s="10">
        <v>39.15</v>
      </c>
      <c r="M358" s="12">
        <v>-23</v>
      </c>
      <c r="N358" s="12">
        <v>-45</v>
      </c>
      <c r="O358" s="12">
        <v>-47.9</v>
      </c>
      <c r="P358" s="13">
        <f t="shared" si="22"/>
        <v>68619.149999999994</v>
      </c>
      <c r="Q358" s="14">
        <f t="shared" si="23"/>
        <v>-23.763305555555554</v>
      </c>
    </row>
    <row r="359" spans="1:17" x14ac:dyDescent="0.25">
      <c r="A359" s="9" t="s">
        <v>369</v>
      </c>
      <c r="B359" s="10">
        <v>4</v>
      </c>
      <c r="C359" s="10">
        <v>34</v>
      </c>
      <c r="D359" s="11">
        <v>50.01</v>
      </c>
      <c r="E359" s="12">
        <v>24</v>
      </c>
      <c r="F359" s="12">
        <v>43</v>
      </c>
      <c r="G359" s="12">
        <v>33.9</v>
      </c>
      <c r="H359" s="13">
        <f t="shared" si="20"/>
        <v>16490.009999999998</v>
      </c>
      <c r="I359" s="14">
        <f t="shared" si="21"/>
        <v>24.726083333333332</v>
      </c>
      <c r="J359" s="10">
        <v>19</v>
      </c>
      <c r="K359" s="10">
        <v>9</v>
      </c>
      <c r="L359" s="10">
        <v>6.53</v>
      </c>
      <c r="M359" s="12">
        <v>-23</v>
      </c>
      <c r="N359" s="12">
        <v>-38</v>
      </c>
      <c r="O359" s="12">
        <v>-59.6</v>
      </c>
      <c r="P359" s="13">
        <f t="shared" si="22"/>
        <v>68946.53</v>
      </c>
      <c r="Q359" s="14">
        <f t="shared" si="23"/>
        <v>-23.649888888888889</v>
      </c>
    </row>
    <row r="360" spans="1:17" x14ac:dyDescent="0.25">
      <c r="A360" s="9" t="s">
        <v>370</v>
      </c>
      <c r="B360" s="10">
        <v>4</v>
      </c>
      <c r="C360" s="10">
        <v>33</v>
      </c>
      <c r="D360" s="11">
        <v>38.659999999999997</v>
      </c>
      <c r="E360" s="12">
        <v>24</v>
      </c>
      <c r="F360" s="12">
        <v>42</v>
      </c>
      <c r="G360" s="12">
        <v>12.8</v>
      </c>
      <c r="H360" s="13">
        <f t="shared" si="20"/>
        <v>16418.66</v>
      </c>
      <c r="I360" s="14">
        <f t="shared" si="21"/>
        <v>24.703555555555557</v>
      </c>
      <c r="J360" s="10">
        <v>19</v>
      </c>
      <c r="K360" s="10">
        <v>14</v>
      </c>
      <c r="L360" s="10">
        <v>33.270000000000003</v>
      </c>
      <c r="M360" s="12">
        <v>-23</v>
      </c>
      <c r="N360" s="12">
        <v>-31</v>
      </c>
      <c r="O360" s="12">
        <v>-27.7</v>
      </c>
      <c r="P360" s="13">
        <f t="shared" si="22"/>
        <v>69273.27</v>
      </c>
      <c r="Q360" s="14">
        <f t="shared" si="23"/>
        <v>-23.524361111111109</v>
      </c>
    </row>
    <row r="361" spans="1:17" x14ac:dyDescent="0.25">
      <c r="A361" s="9" t="s">
        <v>371</v>
      </c>
      <c r="B361" s="10">
        <v>4</v>
      </c>
      <c r="C361" s="10">
        <v>32</v>
      </c>
      <c r="D361" s="11">
        <v>30.54</v>
      </c>
      <c r="E361" s="12">
        <v>24</v>
      </c>
      <c r="F361" s="12">
        <v>40</v>
      </c>
      <c r="G361" s="12">
        <v>51.7</v>
      </c>
      <c r="H361" s="13">
        <f t="shared" si="20"/>
        <v>16350.54</v>
      </c>
      <c r="I361" s="14">
        <f t="shared" si="21"/>
        <v>24.681027777777778</v>
      </c>
      <c r="J361" s="10">
        <v>19</v>
      </c>
      <c r="K361" s="10">
        <v>19</v>
      </c>
      <c r="L361" s="10">
        <v>59.32</v>
      </c>
      <c r="M361" s="12">
        <v>-23</v>
      </c>
      <c r="N361" s="12">
        <v>-23</v>
      </c>
      <c r="O361" s="12">
        <v>-12.6</v>
      </c>
      <c r="P361" s="13">
        <f t="shared" si="22"/>
        <v>69599.320000000007</v>
      </c>
      <c r="Q361" s="14">
        <f t="shared" si="23"/>
        <v>-23.386833333333332</v>
      </c>
    </row>
    <row r="362" spans="1:17" x14ac:dyDescent="0.25">
      <c r="A362" s="9" t="s">
        <v>372</v>
      </c>
      <c r="B362" s="10">
        <v>4</v>
      </c>
      <c r="C362" s="10">
        <v>31</v>
      </c>
      <c r="D362" s="11">
        <v>25.75</v>
      </c>
      <c r="E362" s="12">
        <v>24</v>
      </c>
      <c r="F362" s="12">
        <v>39</v>
      </c>
      <c r="G362" s="12">
        <v>31.3</v>
      </c>
      <c r="H362" s="13">
        <f t="shared" si="20"/>
        <v>16285.75</v>
      </c>
      <c r="I362" s="14">
        <f t="shared" si="21"/>
        <v>24.658694444444443</v>
      </c>
      <c r="J362" s="10">
        <v>19</v>
      </c>
      <c r="K362" s="10">
        <v>25</v>
      </c>
      <c r="L362" s="10">
        <v>24.62</v>
      </c>
      <c r="M362" s="12">
        <v>-23</v>
      </c>
      <c r="N362" s="12">
        <v>-14</v>
      </c>
      <c r="O362" s="12">
        <v>-14.5</v>
      </c>
      <c r="P362" s="13">
        <f t="shared" si="22"/>
        <v>69924.62</v>
      </c>
      <c r="Q362" s="14">
        <f t="shared" si="23"/>
        <v>-23.237361111111113</v>
      </c>
    </row>
    <row r="363" spans="1:17" x14ac:dyDescent="0.25">
      <c r="A363" s="9" t="s">
        <v>373</v>
      </c>
      <c r="B363" s="10">
        <v>4</v>
      </c>
      <c r="C363" s="10">
        <v>30</v>
      </c>
      <c r="D363" s="11">
        <v>24.34</v>
      </c>
      <c r="E363" s="12">
        <v>24</v>
      </c>
      <c r="F363" s="12">
        <v>38</v>
      </c>
      <c r="G363" s="12">
        <v>12</v>
      </c>
      <c r="H363" s="13">
        <f t="shared" si="20"/>
        <v>16224.34</v>
      </c>
      <c r="I363" s="14">
        <f t="shared" si="21"/>
        <v>24.636666666666667</v>
      </c>
      <c r="J363" s="10">
        <v>19</v>
      </c>
      <c r="K363" s="10">
        <v>30</v>
      </c>
      <c r="L363" s="10">
        <v>49.11</v>
      </c>
      <c r="M363" s="12">
        <v>-23</v>
      </c>
      <c r="N363" s="12">
        <v>-4</v>
      </c>
      <c r="O363" s="12">
        <v>-33.9</v>
      </c>
      <c r="P363" s="13">
        <f t="shared" si="22"/>
        <v>70249.11</v>
      </c>
      <c r="Q363" s="14">
        <f t="shared" si="23"/>
        <v>-23.076083333333333</v>
      </c>
    </row>
    <row r="364" spans="1:17" x14ac:dyDescent="0.25">
      <c r="A364" s="9" t="s">
        <v>374</v>
      </c>
      <c r="B364" s="10">
        <v>4</v>
      </c>
      <c r="C364" s="10">
        <v>29</v>
      </c>
      <c r="D364" s="11">
        <v>26.41</v>
      </c>
      <c r="E364" s="12">
        <v>24</v>
      </c>
      <c r="F364" s="12">
        <v>36</v>
      </c>
      <c r="G364" s="12">
        <v>54.2</v>
      </c>
      <c r="H364" s="13">
        <f t="shared" si="20"/>
        <v>16166.41</v>
      </c>
      <c r="I364" s="14">
        <f t="shared" si="21"/>
        <v>24.615055555555557</v>
      </c>
      <c r="J364" s="10">
        <v>19</v>
      </c>
      <c r="K364" s="10">
        <v>36</v>
      </c>
      <c r="L364" s="10">
        <v>12.74</v>
      </c>
      <c r="M364" s="12">
        <v>-22</v>
      </c>
      <c r="N364" s="12">
        <v>-54</v>
      </c>
      <c r="O364" s="12">
        <v>-11.2</v>
      </c>
      <c r="P364" s="13">
        <f t="shared" si="22"/>
        <v>70572.740000000005</v>
      </c>
      <c r="Q364" s="14">
        <f t="shared" si="23"/>
        <v>-22.903111111111109</v>
      </c>
    </row>
    <row r="365" spans="1:17" x14ac:dyDescent="0.25">
      <c r="A365" s="9" t="s">
        <v>375</v>
      </c>
      <c r="B365" s="10">
        <v>4</v>
      </c>
      <c r="C365" s="10">
        <v>28</v>
      </c>
      <c r="D365" s="11">
        <v>31.99</v>
      </c>
      <c r="E365" s="12">
        <v>24</v>
      </c>
      <c r="F365" s="12">
        <v>35</v>
      </c>
      <c r="G365" s="12">
        <v>38.6</v>
      </c>
      <c r="H365" s="13">
        <f t="shared" si="20"/>
        <v>16111.99</v>
      </c>
      <c r="I365" s="14">
        <f t="shared" si="21"/>
        <v>24.594055555555556</v>
      </c>
      <c r="J365" s="10">
        <v>19</v>
      </c>
      <c r="K365" s="10">
        <v>41</v>
      </c>
      <c r="L365" s="10">
        <v>35.46</v>
      </c>
      <c r="M365" s="12">
        <v>-22</v>
      </c>
      <c r="N365" s="12">
        <v>-43</v>
      </c>
      <c r="O365" s="12">
        <v>-6.8</v>
      </c>
      <c r="P365" s="13">
        <f t="shared" si="22"/>
        <v>70895.460000000006</v>
      </c>
      <c r="Q365" s="14">
        <f t="shared" si="23"/>
        <v>-22.718555555555554</v>
      </c>
    </row>
    <row r="366" spans="1:17" x14ac:dyDescent="0.25">
      <c r="A366" s="9" t="s">
        <v>376</v>
      </c>
      <c r="B366" s="10">
        <v>4</v>
      </c>
      <c r="C366" s="10">
        <v>27</v>
      </c>
      <c r="D366" s="11">
        <v>41.14</v>
      </c>
      <c r="E366" s="12">
        <v>24</v>
      </c>
      <c r="F366" s="12">
        <v>34</v>
      </c>
      <c r="G366" s="12">
        <v>25.4</v>
      </c>
      <c r="H366" s="13">
        <f t="shared" si="20"/>
        <v>16061.14</v>
      </c>
      <c r="I366" s="14">
        <f t="shared" si="21"/>
        <v>24.573722222222223</v>
      </c>
      <c r="J366" s="10">
        <v>19</v>
      </c>
      <c r="K366" s="10">
        <v>46</v>
      </c>
      <c r="L366" s="10">
        <v>57.21</v>
      </c>
      <c r="M366" s="12">
        <v>-22</v>
      </c>
      <c r="N366" s="12">
        <v>-31</v>
      </c>
      <c r="O366" s="12">
        <v>-21.2</v>
      </c>
      <c r="P366" s="13">
        <f t="shared" si="22"/>
        <v>71217.210000000006</v>
      </c>
      <c r="Q366" s="14">
        <f t="shared" si="23"/>
        <v>-22.522555555555556</v>
      </c>
    </row>
    <row r="367" spans="1:17" x14ac:dyDescent="0.25">
      <c r="A367" s="9" t="s">
        <v>377</v>
      </c>
      <c r="B367" s="10">
        <v>4</v>
      </c>
      <c r="C367" s="10">
        <v>26</v>
      </c>
      <c r="D367" s="11">
        <v>53.87</v>
      </c>
      <c r="E367" s="12">
        <v>24</v>
      </c>
      <c r="F367" s="12">
        <v>33</v>
      </c>
      <c r="G367" s="12">
        <v>15.2</v>
      </c>
      <c r="H367" s="13">
        <f t="shared" si="20"/>
        <v>16013.87</v>
      </c>
      <c r="I367" s="14">
        <f t="shared" si="21"/>
        <v>24.554222222222222</v>
      </c>
      <c r="J367" s="10">
        <v>19</v>
      </c>
      <c r="K367" s="10">
        <v>52</v>
      </c>
      <c r="L367" s="10">
        <v>17.95</v>
      </c>
      <c r="M367" s="12">
        <v>-22</v>
      </c>
      <c r="N367" s="12">
        <v>-18</v>
      </c>
      <c r="O367" s="12">
        <v>-55</v>
      </c>
      <c r="P367" s="13">
        <f t="shared" si="22"/>
        <v>71537.95</v>
      </c>
      <c r="Q367" s="14">
        <f t="shared" si="23"/>
        <v>-22.31527777777778</v>
      </c>
    </row>
  </sheetData>
  <mergeCells count="2">
    <mergeCell ref="A1:I1"/>
    <mergeCell ref="J1:Q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20DFB-5FC5-4E53-9A62-5FFD7826E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Mars</vt:lpstr>
      <vt:lpstr>Vénusz</vt:lpstr>
      <vt:lpstr>Pályák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Németh Koppány Zoltán</dc:creator>
  <cp:lastModifiedBy>Németh Koppány Zoltán</cp:lastModifiedBy>
  <dcterms:created xsi:type="dcterms:W3CDTF">2026-05-13T17:19:30Z</dcterms:created>
  <dcterms:modified xsi:type="dcterms:W3CDTF">2026-05-13T18:26:19Z</dcterms:modified>
</cp:coreProperties>
</file>